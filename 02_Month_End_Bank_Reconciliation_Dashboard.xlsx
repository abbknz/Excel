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lin\Downloads\"/>
    </mc:Choice>
  </mc:AlternateContent>
  <xr:revisionPtr revIDLastSave="0" documentId="13_ncr:1_{27C89AC7-F00D-49B0-9CC2-3840330C8D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Bank_Statement" sheetId="2" r:id="rId2"/>
    <sheet name="GL_Cash_Book" sheetId="3" r:id="rId3"/>
    <sheet name="Exception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F116" i="3"/>
  <c r="F115" i="3"/>
  <c r="F114" i="3"/>
  <c r="F113" i="3"/>
  <c r="F112" i="3"/>
  <c r="F111" i="3"/>
  <c r="F110" i="3"/>
  <c r="F109" i="3"/>
  <c r="F108" i="3"/>
  <c r="G108" i="3" s="1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G95" i="3" s="1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G73" i="3" s="1"/>
  <c r="F72" i="3"/>
  <c r="F71" i="3"/>
  <c r="F70" i="3"/>
  <c r="G70" i="3" s="1"/>
  <c r="F69" i="3"/>
  <c r="F68" i="3"/>
  <c r="F67" i="3"/>
  <c r="G67" i="3" s="1"/>
  <c r="F66" i="3"/>
  <c r="F65" i="3"/>
  <c r="F64" i="3"/>
  <c r="G64" i="3" s="1"/>
  <c r="F63" i="3"/>
  <c r="F62" i="3"/>
  <c r="F61" i="3"/>
  <c r="F60" i="3"/>
  <c r="F59" i="3"/>
  <c r="F58" i="3"/>
  <c r="F57" i="3"/>
  <c r="F56" i="3"/>
  <c r="F55" i="3"/>
  <c r="F54" i="3"/>
  <c r="F53" i="3"/>
  <c r="F52" i="3"/>
  <c r="G52" i="3" s="1"/>
  <c r="F51" i="3"/>
  <c r="F50" i="3"/>
  <c r="F49" i="3"/>
  <c r="F48" i="3"/>
  <c r="F47" i="3"/>
  <c r="F46" i="3"/>
  <c r="G46" i="3" s="1"/>
  <c r="F45" i="3"/>
  <c r="F44" i="3"/>
  <c r="F43" i="3"/>
  <c r="F42" i="3"/>
  <c r="F41" i="3"/>
  <c r="F40" i="3"/>
  <c r="G40" i="3" s="1"/>
  <c r="F39" i="3"/>
  <c r="F38" i="3"/>
  <c r="F37" i="3"/>
  <c r="G37" i="3" s="1"/>
  <c r="F36" i="3"/>
  <c r="F35" i="3"/>
  <c r="F34" i="3"/>
  <c r="G34" i="3" s="1"/>
  <c r="F33" i="3"/>
  <c r="F32" i="3"/>
  <c r="F31" i="3"/>
  <c r="G31" i="3" s="1"/>
  <c r="F30" i="3"/>
  <c r="G30" i="3" s="1"/>
  <c r="F29" i="3"/>
  <c r="F28" i="3"/>
  <c r="G28" i="3" s="1"/>
  <c r="F27" i="3"/>
  <c r="G27" i="3" s="1"/>
  <c r="F26" i="3"/>
  <c r="F25" i="3"/>
  <c r="G25" i="3" s="1"/>
  <c r="F24" i="3"/>
  <c r="G24" i="3" s="1"/>
  <c r="F23" i="3"/>
  <c r="F22" i="3"/>
  <c r="G22" i="3" s="1"/>
  <c r="F21" i="3"/>
  <c r="G21" i="3" s="1"/>
  <c r="F20" i="3"/>
  <c r="F19" i="3"/>
  <c r="G19" i="3" s="1"/>
  <c r="F18" i="3"/>
  <c r="G18" i="3" s="1"/>
  <c r="F17" i="3"/>
  <c r="F16" i="3"/>
  <c r="G16" i="3" s="1"/>
  <c r="F15" i="3"/>
  <c r="G15" i="3" s="1"/>
  <c r="F14" i="3"/>
  <c r="F13" i="3"/>
  <c r="G13" i="3" s="1"/>
  <c r="F12" i="3"/>
  <c r="G12" i="3" s="1"/>
  <c r="F11" i="3"/>
  <c r="F10" i="3"/>
  <c r="G10" i="3" s="1"/>
  <c r="F9" i="3"/>
  <c r="G9" i="3" s="1"/>
  <c r="F8" i="3"/>
  <c r="F7" i="3"/>
  <c r="G7" i="3" s="1"/>
  <c r="F6" i="3"/>
  <c r="G6" i="3" s="1"/>
  <c r="F5" i="3"/>
  <c r="F4" i="3"/>
  <c r="G4" i="3" s="1"/>
  <c r="F3" i="3"/>
  <c r="G3" i="3" s="1"/>
  <c r="F2" i="3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G55" i="3" s="1"/>
  <c r="F4" i="2"/>
  <c r="F3" i="2"/>
  <c r="G91" i="3" s="1"/>
  <c r="F2" i="2"/>
  <c r="G112" i="3" s="1"/>
  <c r="I10" i="3" l="1"/>
  <c r="H10" i="3"/>
  <c r="I12" i="3"/>
  <c r="H12" i="3"/>
  <c r="I24" i="3"/>
  <c r="H24" i="3"/>
  <c r="H108" i="3"/>
  <c r="I13" i="3"/>
  <c r="H13" i="3"/>
  <c r="I73" i="3"/>
  <c r="H73" i="3"/>
  <c r="I37" i="3"/>
  <c r="H37" i="3"/>
  <c r="H112" i="3"/>
  <c r="I27" i="3"/>
  <c r="H27" i="3"/>
  <c r="I25" i="3"/>
  <c r="H25" i="3"/>
  <c r="I16" i="3"/>
  <c r="H16" i="3"/>
  <c r="H91" i="3"/>
  <c r="I91" i="3"/>
  <c r="I4" i="3"/>
  <c r="H4" i="3"/>
  <c r="I40" i="3"/>
  <c r="H40" i="3"/>
  <c r="I52" i="3"/>
  <c r="H52" i="3"/>
  <c r="I64" i="3"/>
  <c r="H64" i="3"/>
  <c r="I55" i="3"/>
  <c r="H55" i="3"/>
  <c r="I3" i="3"/>
  <c r="H3" i="3"/>
  <c r="I15" i="3"/>
  <c r="H15" i="3"/>
  <c r="H28" i="3"/>
  <c r="I6" i="3"/>
  <c r="H6" i="3"/>
  <c r="H18" i="3"/>
  <c r="I30" i="3"/>
  <c r="H30" i="3"/>
  <c r="I67" i="3"/>
  <c r="H67" i="3"/>
  <c r="I7" i="3"/>
  <c r="H7" i="3"/>
  <c r="H31" i="3"/>
  <c r="I21" i="3"/>
  <c r="H21" i="3"/>
  <c r="I9" i="3"/>
  <c r="H9" i="3"/>
  <c r="I22" i="3"/>
  <c r="H22" i="3"/>
  <c r="H34" i="3"/>
  <c r="H46" i="3"/>
  <c r="I70" i="3"/>
  <c r="H70" i="3"/>
  <c r="I19" i="3"/>
  <c r="H19" i="3"/>
  <c r="H95" i="3"/>
  <c r="I95" i="3"/>
  <c r="G86" i="3"/>
  <c r="G92" i="3"/>
  <c r="G49" i="3"/>
  <c r="G65" i="3"/>
  <c r="G45" i="3"/>
  <c r="G50" i="3"/>
  <c r="G76" i="3"/>
  <c r="G81" i="3"/>
  <c r="G98" i="3"/>
  <c r="G104" i="3"/>
  <c r="G61" i="3"/>
  <c r="G87" i="3"/>
  <c r="G93" i="3"/>
  <c r="G111" i="3"/>
  <c r="G60" i="3"/>
  <c r="G35" i="3"/>
  <c r="G51" i="3"/>
  <c r="G56" i="3"/>
  <c r="G82" i="3"/>
  <c r="G94" i="3"/>
  <c r="G99" i="3"/>
  <c r="G105" i="3"/>
  <c r="G88" i="3"/>
  <c r="G100" i="3"/>
  <c r="G66" i="3"/>
  <c r="G36" i="3"/>
  <c r="G41" i="3"/>
  <c r="G72" i="3"/>
  <c r="G77" i="3"/>
  <c r="G57" i="3"/>
  <c r="G62" i="3"/>
  <c r="G42" i="3"/>
  <c r="G47" i="3"/>
  <c r="G78" i="3"/>
  <c r="G83" i="3"/>
  <c r="G89" i="3"/>
  <c r="G101" i="3"/>
  <c r="G107" i="3"/>
  <c r="G113" i="3"/>
  <c r="G71" i="3"/>
  <c r="G106" i="3"/>
  <c r="G32" i="3"/>
  <c r="G58" i="3"/>
  <c r="G63" i="3"/>
  <c r="G68" i="3"/>
  <c r="G114" i="3"/>
  <c r="G2" i="3"/>
  <c r="G8" i="3"/>
  <c r="G14" i="3"/>
  <c r="G20" i="3"/>
  <c r="G26" i="3"/>
  <c r="I34" i="3" s="1"/>
  <c r="G43" i="3"/>
  <c r="G48" i="3"/>
  <c r="G79" i="3"/>
  <c r="G84" i="3"/>
  <c r="G90" i="3"/>
  <c r="G5" i="3"/>
  <c r="G11" i="3"/>
  <c r="G17" i="3"/>
  <c r="G23" i="3"/>
  <c r="G29" i="3"/>
  <c r="G53" i="3"/>
  <c r="G33" i="3"/>
  <c r="G38" i="3"/>
  <c r="G69" i="3"/>
  <c r="G74" i="3"/>
  <c r="G96" i="3"/>
  <c r="G115" i="3"/>
  <c r="G54" i="3"/>
  <c r="G59" i="3"/>
  <c r="G85" i="3"/>
  <c r="G97" i="3"/>
  <c r="G102" i="3"/>
  <c r="G109" i="3"/>
  <c r="G116" i="3"/>
  <c r="G39" i="3"/>
  <c r="G44" i="3"/>
  <c r="G75" i="3"/>
  <c r="G80" i="3"/>
  <c r="G103" i="3"/>
  <c r="G110" i="3"/>
  <c r="I38" i="3" l="1"/>
  <c r="H38" i="3"/>
  <c r="H43" i="3"/>
  <c r="I43" i="3"/>
  <c r="I71" i="3"/>
  <c r="H71" i="3"/>
  <c r="I72" i="3"/>
  <c r="H72" i="3"/>
  <c r="I35" i="3"/>
  <c r="H35" i="3"/>
  <c r="I65" i="3"/>
  <c r="H65" i="3"/>
  <c r="I116" i="3"/>
  <c r="H116" i="3"/>
  <c r="I80" i="3"/>
  <c r="H80" i="3"/>
  <c r="I60" i="3"/>
  <c r="H60" i="3"/>
  <c r="I92" i="3"/>
  <c r="H92" i="3"/>
  <c r="I93" i="3"/>
  <c r="H93" i="3"/>
  <c r="I86" i="3"/>
  <c r="H86" i="3"/>
  <c r="H49" i="3"/>
  <c r="I49" i="3"/>
  <c r="I107" i="3"/>
  <c r="H107" i="3"/>
  <c r="I101" i="3"/>
  <c r="H101" i="3"/>
  <c r="H97" i="3"/>
  <c r="I97" i="3"/>
  <c r="H23" i="3"/>
  <c r="I23" i="3"/>
  <c r="H8" i="3"/>
  <c r="I8" i="3"/>
  <c r="I89" i="3"/>
  <c r="H89" i="3"/>
  <c r="I100" i="3"/>
  <c r="H100" i="3"/>
  <c r="I87" i="3"/>
  <c r="H87" i="3"/>
  <c r="I39" i="3"/>
  <c r="H39" i="3"/>
  <c r="I113" i="3"/>
  <c r="H113" i="3"/>
  <c r="H20" i="3"/>
  <c r="I20" i="3"/>
  <c r="H14" i="3"/>
  <c r="I14" i="3"/>
  <c r="H85" i="3"/>
  <c r="I85" i="3"/>
  <c r="H17" i="3"/>
  <c r="I17" i="3"/>
  <c r="B9" i="5"/>
  <c r="B8" i="5"/>
  <c r="E6" i="5"/>
  <c r="E5" i="5"/>
  <c r="H2" i="3"/>
  <c r="I2" i="3"/>
  <c r="I83" i="3"/>
  <c r="H83" i="3"/>
  <c r="H88" i="3"/>
  <c r="I88" i="3"/>
  <c r="I61" i="3"/>
  <c r="H61" i="3"/>
  <c r="I18" i="3"/>
  <c r="I108" i="3"/>
  <c r="H26" i="3"/>
  <c r="I26" i="3"/>
  <c r="I109" i="3"/>
  <c r="H109" i="3"/>
  <c r="I111" i="3"/>
  <c r="H111" i="3"/>
  <c r="H29" i="3"/>
  <c r="I29" i="3"/>
  <c r="I66" i="3"/>
  <c r="H66" i="3"/>
  <c r="I59" i="3"/>
  <c r="H59" i="3"/>
  <c r="H11" i="3"/>
  <c r="I11" i="3"/>
  <c r="I114" i="3"/>
  <c r="H114" i="3"/>
  <c r="I78" i="3"/>
  <c r="H78" i="3"/>
  <c r="I105" i="3"/>
  <c r="H105" i="3"/>
  <c r="H104" i="3"/>
  <c r="I104" i="3"/>
  <c r="I41" i="3"/>
  <c r="H41" i="3"/>
  <c r="I36" i="3"/>
  <c r="H36" i="3"/>
  <c r="H110" i="3"/>
  <c r="I110" i="3"/>
  <c r="I54" i="3"/>
  <c r="H54" i="3"/>
  <c r="H5" i="3"/>
  <c r="I5" i="3"/>
  <c r="I68" i="3"/>
  <c r="H68" i="3"/>
  <c r="I47" i="3"/>
  <c r="H47" i="3"/>
  <c r="I99" i="3"/>
  <c r="H99" i="3"/>
  <c r="I98" i="3"/>
  <c r="H98" i="3"/>
  <c r="I33" i="3"/>
  <c r="H33" i="3"/>
  <c r="I53" i="3"/>
  <c r="H53" i="3"/>
  <c r="I102" i="3"/>
  <c r="H102" i="3"/>
  <c r="I103" i="3"/>
  <c r="H103" i="3"/>
  <c r="I115" i="3"/>
  <c r="H115" i="3"/>
  <c r="I90" i="3"/>
  <c r="H90" i="3"/>
  <c r="I63" i="3"/>
  <c r="H63" i="3"/>
  <c r="I42" i="3"/>
  <c r="H42" i="3"/>
  <c r="I94" i="3"/>
  <c r="H94" i="3"/>
  <c r="I81" i="3"/>
  <c r="H81" i="3"/>
  <c r="I96" i="3"/>
  <c r="H96" i="3"/>
  <c r="I76" i="3"/>
  <c r="H76" i="3"/>
  <c r="I31" i="3"/>
  <c r="I112" i="3"/>
  <c r="I84" i="3"/>
  <c r="H84" i="3"/>
  <c r="I62" i="3"/>
  <c r="H62" i="3"/>
  <c r="I28" i="3"/>
  <c r="I75" i="3"/>
  <c r="H75" i="3"/>
  <c r="I74" i="3"/>
  <c r="H74" i="3"/>
  <c r="I79" i="3"/>
  <c r="H79" i="3"/>
  <c r="I32" i="3"/>
  <c r="H32" i="3"/>
  <c r="I57" i="3"/>
  <c r="H57" i="3"/>
  <c r="I56" i="3"/>
  <c r="H56" i="3"/>
  <c r="I50" i="3"/>
  <c r="H50" i="3"/>
  <c r="I58" i="3"/>
  <c r="H58" i="3"/>
  <c r="I82" i="3"/>
  <c r="H82" i="3"/>
  <c r="I44" i="3"/>
  <c r="H44" i="3"/>
  <c r="I69" i="3"/>
  <c r="H69" i="3"/>
  <c r="I48" i="3"/>
  <c r="H48" i="3"/>
  <c r="I106" i="3"/>
  <c r="H106" i="3"/>
  <c r="I77" i="3"/>
  <c r="H77" i="3"/>
  <c r="I51" i="3"/>
  <c r="H51" i="3"/>
  <c r="I45" i="3"/>
  <c r="H45" i="3"/>
  <c r="I46" i="3"/>
  <c r="G115" i="4" l="1"/>
  <c r="H116" i="4"/>
  <c r="D115" i="4"/>
  <c r="H113" i="4"/>
  <c r="D112" i="4"/>
  <c r="H110" i="4"/>
  <c r="D109" i="4"/>
  <c r="H107" i="4"/>
  <c r="D106" i="4"/>
  <c r="H104" i="4"/>
  <c r="G116" i="4"/>
  <c r="C115" i="4"/>
  <c r="G113" i="4"/>
  <c r="C112" i="4"/>
  <c r="G110" i="4"/>
  <c r="C109" i="4"/>
  <c r="G107" i="4"/>
  <c r="C106" i="4"/>
  <c r="G104" i="4"/>
  <c r="C103" i="4"/>
  <c r="G101" i="4"/>
  <c r="C100" i="4"/>
  <c r="G98" i="4"/>
  <c r="C97" i="4"/>
  <c r="G95" i="4"/>
  <c r="C94" i="4"/>
  <c r="G92" i="4"/>
  <c r="C91" i="4"/>
  <c r="G89" i="4"/>
  <c r="C88" i="4"/>
  <c r="G86" i="4"/>
  <c r="C85" i="4"/>
  <c r="G83" i="4"/>
  <c r="C82" i="4"/>
  <c r="G80" i="4"/>
  <c r="C79" i="4"/>
  <c r="G77" i="4"/>
  <c r="C76" i="4"/>
  <c r="G74" i="4"/>
  <c r="C73" i="4"/>
  <c r="G71" i="4"/>
  <c r="C70" i="4"/>
  <c r="F116" i="4"/>
  <c r="B115" i="4"/>
  <c r="F113" i="4"/>
  <c r="B112" i="4"/>
  <c r="F110" i="4"/>
  <c r="B109" i="4"/>
  <c r="F107" i="4"/>
  <c r="B106" i="4"/>
  <c r="F104" i="4"/>
  <c r="B103" i="4"/>
  <c r="F101" i="4"/>
  <c r="B100" i="4"/>
  <c r="F98" i="4"/>
  <c r="B97" i="4"/>
  <c r="F95" i="4"/>
  <c r="B94" i="4"/>
  <c r="F92" i="4"/>
  <c r="B91" i="4"/>
  <c r="F89" i="4"/>
  <c r="B88" i="4"/>
  <c r="F86" i="4"/>
  <c r="B85" i="4"/>
  <c r="F83" i="4"/>
  <c r="B82" i="4"/>
  <c r="F80" i="4"/>
  <c r="B79" i="4"/>
  <c r="F77" i="4"/>
  <c r="B76" i="4"/>
  <c r="F74" i="4"/>
  <c r="B73" i="4"/>
  <c r="F71" i="4"/>
  <c r="B70" i="4"/>
  <c r="F68" i="4"/>
  <c r="B67" i="4"/>
  <c r="F65" i="4"/>
  <c r="B64" i="4"/>
  <c r="F62" i="4"/>
  <c r="B61" i="4"/>
  <c r="F59" i="4"/>
  <c r="B58" i="4"/>
  <c r="F56" i="4"/>
  <c r="B55" i="4"/>
  <c r="E116" i="4"/>
  <c r="A115" i="4"/>
  <c r="E113" i="4"/>
  <c r="A112" i="4"/>
  <c r="E110" i="4"/>
  <c r="A109" i="4"/>
  <c r="E107" i="4"/>
  <c r="A106" i="4"/>
  <c r="E104" i="4"/>
  <c r="A103" i="4"/>
  <c r="E101" i="4"/>
  <c r="A100" i="4"/>
  <c r="E98" i="4"/>
  <c r="A97" i="4"/>
  <c r="E95" i="4"/>
  <c r="A94" i="4"/>
  <c r="E92" i="4"/>
  <c r="A91" i="4"/>
  <c r="E89" i="4"/>
  <c r="A88" i="4"/>
  <c r="E86" i="4"/>
  <c r="A85" i="4"/>
  <c r="E83" i="4"/>
  <c r="A82" i="4"/>
  <c r="E80" i="4"/>
  <c r="A79" i="4"/>
  <c r="E77" i="4"/>
  <c r="A76" i="4"/>
  <c r="E74" i="4"/>
  <c r="A73" i="4"/>
  <c r="E71" i="4"/>
  <c r="A70" i="4"/>
  <c r="E68" i="4"/>
  <c r="A67" i="4"/>
  <c r="E65" i="4"/>
  <c r="A64" i="4"/>
  <c r="E62" i="4"/>
  <c r="A61" i="4"/>
  <c r="E59" i="4"/>
  <c r="A58" i="4"/>
  <c r="E56" i="4"/>
  <c r="A55" i="4"/>
  <c r="E53" i="4"/>
  <c r="A52" i="4"/>
  <c r="E50" i="4"/>
  <c r="A49" i="4"/>
  <c r="E47" i="4"/>
  <c r="A46" i="4"/>
  <c r="E44" i="4"/>
  <c r="A43" i="4"/>
  <c r="E41" i="4"/>
  <c r="D116" i="4"/>
  <c r="H114" i="4"/>
  <c r="D113" i="4"/>
  <c r="H111" i="4"/>
  <c r="D110" i="4"/>
  <c r="H108" i="4"/>
  <c r="D107" i="4"/>
  <c r="H105" i="4"/>
  <c r="D104" i="4"/>
  <c r="H102" i="4"/>
  <c r="D101" i="4"/>
  <c r="H99" i="4"/>
  <c r="D98" i="4"/>
  <c r="H96" i="4"/>
  <c r="D95" i="4"/>
  <c r="H93" i="4"/>
  <c r="D92" i="4"/>
  <c r="H90" i="4"/>
  <c r="D89" i="4"/>
  <c r="H87" i="4"/>
  <c r="D86" i="4"/>
  <c r="H84" i="4"/>
  <c r="D83" i="4"/>
  <c r="H81" i="4"/>
  <c r="D80" i="4"/>
  <c r="H78" i="4"/>
  <c r="D77" i="4"/>
  <c r="H75" i="4"/>
  <c r="D74" i="4"/>
  <c r="H72" i="4"/>
  <c r="D71" i="4"/>
  <c r="H69" i="4"/>
  <c r="D68" i="4"/>
  <c r="H66" i="4"/>
  <c r="D65" i="4"/>
  <c r="H63" i="4"/>
  <c r="D62" i="4"/>
  <c r="H60" i="4"/>
  <c r="D59" i="4"/>
  <c r="H57" i="4"/>
  <c r="D56" i="4"/>
  <c r="H54" i="4"/>
  <c r="D53" i="4"/>
  <c r="H51" i="4"/>
  <c r="D50" i="4"/>
  <c r="H48" i="4"/>
  <c r="D47" i="4"/>
  <c r="H45" i="4"/>
  <c r="D44" i="4"/>
  <c r="H42" i="4"/>
  <c r="D41" i="4"/>
  <c r="H39" i="4"/>
  <c r="D38" i="4"/>
  <c r="H36" i="4"/>
  <c r="D35" i="4"/>
  <c r="H33" i="4"/>
  <c r="D32" i="4"/>
  <c r="H30" i="4"/>
  <c r="D29" i="4"/>
  <c r="H27" i="4"/>
  <c r="D26" i="4"/>
  <c r="H24" i="4"/>
  <c r="D23" i="4"/>
  <c r="H21" i="4"/>
  <c r="D20" i="4"/>
  <c r="H18" i="4"/>
  <c r="D17" i="4"/>
  <c r="H15" i="4"/>
  <c r="D14" i="4"/>
  <c r="H12" i="4"/>
  <c r="D11" i="4"/>
  <c r="H9" i="4"/>
  <c r="D8" i="4"/>
  <c r="H6" i="4"/>
  <c r="D5" i="4"/>
  <c r="H3" i="4"/>
  <c r="D2" i="4"/>
  <c r="D114" i="4"/>
  <c r="F111" i="4"/>
  <c r="E109" i="4"/>
  <c r="G106" i="4"/>
  <c r="A104" i="4"/>
  <c r="A102" i="4"/>
  <c r="E99" i="4"/>
  <c r="E97" i="4"/>
  <c r="A95" i="4"/>
  <c r="A93" i="4"/>
  <c r="E90" i="4"/>
  <c r="E88" i="4"/>
  <c r="A86" i="4"/>
  <c r="A84" i="4"/>
  <c r="E81" i="4"/>
  <c r="E79" i="4"/>
  <c r="A77" i="4"/>
  <c r="A75" i="4"/>
  <c r="E72" i="4"/>
  <c r="E70" i="4"/>
  <c r="B68" i="4"/>
  <c r="C66" i="4"/>
  <c r="D64" i="4"/>
  <c r="B62" i="4"/>
  <c r="C60" i="4"/>
  <c r="D58" i="4"/>
  <c r="B56" i="4"/>
  <c r="C54" i="4"/>
  <c r="E52" i="4"/>
  <c r="G50" i="4"/>
  <c r="G48" i="4"/>
  <c r="A47" i="4"/>
  <c r="C45" i="4"/>
  <c r="E43" i="4"/>
  <c r="G41" i="4"/>
  <c r="A40" i="4"/>
  <c r="C38" i="4"/>
  <c r="F36" i="4"/>
  <c r="A35" i="4"/>
  <c r="D33" i="4"/>
  <c r="G31" i="4"/>
  <c r="B30" i="4"/>
  <c r="E28" i="4"/>
  <c r="H26" i="4"/>
  <c r="C25" i="4"/>
  <c r="F23" i="4"/>
  <c r="A22" i="4"/>
  <c r="C20" i="4"/>
  <c r="F18" i="4"/>
  <c r="A17" i="4"/>
  <c r="D15" i="4"/>
  <c r="G13" i="4"/>
  <c r="B12" i="4"/>
  <c r="E10" i="4"/>
  <c r="H8" i="4"/>
  <c r="C7" i="4"/>
  <c r="F5" i="4"/>
  <c r="A4" i="4"/>
  <c r="C2" i="4"/>
  <c r="C114" i="4"/>
  <c r="E111" i="4"/>
  <c r="G108" i="4"/>
  <c r="F106" i="4"/>
  <c r="H103" i="4"/>
  <c r="H101" i="4"/>
  <c r="D99" i="4"/>
  <c r="D97" i="4"/>
  <c r="H94" i="4"/>
  <c r="H92" i="4"/>
  <c r="D90" i="4"/>
  <c r="D88" i="4"/>
  <c r="H85" i="4"/>
  <c r="H83" i="4"/>
  <c r="D81" i="4"/>
  <c r="D79" i="4"/>
  <c r="H76" i="4"/>
  <c r="H74" i="4"/>
  <c r="D72" i="4"/>
  <c r="D70" i="4"/>
  <c r="A68" i="4"/>
  <c r="B66" i="4"/>
  <c r="C64" i="4"/>
  <c r="A62" i="4"/>
  <c r="B60" i="4"/>
  <c r="C58" i="4"/>
  <c r="A56" i="4"/>
  <c r="B54" i="4"/>
  <c r="D52" i="4"/>
  <c r="F50" i="4"/>
  <c r="F48" i="4"/>
  <c r="H46" i="4"/>
  <c r="B45" i="4"/>
  <c r="D43" i="4"/>
  <c r="F41" i="4"/>
  <c r="G39" i="4"/>
  <c r="B38" i="4"/>
  <c r="E36" i="4"/>
  <c r="H34" i="4"/>
  <c r="C33" i="4"/>
  <c r="F31" i="4"/>
  <c r="A30" i="4"/>
  <c r="D28" i="4"/>
  <c r="G26" i="4"/>
  <c r="B25" i="4"/>
  <c r="E23" i="4"/>
  <c r="G21" i="4"/>
  <c r="B20" i="4"/>
  <c r="E18" i="4"/>
  <c r="H16" i="4"/>
  <c r="C15" i="4"/>
  <c r="F13" i="4"/>
  <c r="A12" i="4"/>
  <c r="D10" i="4"/>
  <c r="G8" i="4"/>
  <c r="B7" i="4"/>
  <c r="E5" i="4"/>
  <c r="G3" i="4"/>
  <c r="B2" i="4"/>
  <c r="B114" i="4"/>
  <c r="D111" i="4"/>
  <c r="F108" i="4"/>
  <c r="E106" i="4"/>
  <c r="G103" i="4"/>
  <c r="C101" i="4"/>
  <c r="C99" i="4"/>
  <c r="G96" i="4"/>
  <c r="G94" i="4"/>
  <c r="C92" i="4"/>
  <c r="C90" i="4"/>
  <c r="G87" i="4"/>
  <c r="G85" i="4"/>
  <c r="C83" i="4"/>
  <c r="C81" i="4"/>
  <c r="G78" i="4"/>
  <c r="G76" i="4"/>
  <c r="C74" i="4"/>
  <c r="C72" i="4"/>
  <c r="G69" i="4"/>
  <c r="H67" i="4"/>
  <c r="A66" i="4"/>
  <c r="G63" i="4"/>
  <c r="H61" i="4"/>
  <c r="A60" i="4"/>
  <c r="G57" i="4"/>
  <c r="H55" i="4"/>
  <c r="A54" i="4"/>
  <c r="C52" i="4"/>
  <c r="C50" i="4"/>
  <c r="E48" i="4"/>
  <c r="G46" i="4"/>
  <c r="A45" i="4"/>
  <c r="C43" i="4"/>
  <c r="C41" i="4"/>
  <c r="F39" i="4"/>
  <c r="A38" i="4"/>
  <c r="D36" i="4"/>
  <c r="G34" i="4"/>
  <c r="B33" i="4"/>
  <c r="E31" i="4"/>
  <c r="H29" i="4"/>
  <c r="C28" i="4"/>
  <c r="F26" i="4"/>
  <c r="A25" i="4"/>
  <c r="C23" i="4"/>
  <c r="F21" i="4"/>
  <c r="A20" i="4"/>
  <c r="D18" i="4"/>
  <c r="G16" i="4"/>
  <c r="B15" i="4"/>
  <c r="E13" i="4"/>
  <c r="H11" i="4"/>
  <c r="C10" i="4"/>
  <c r="F8" i="4"/>
  <c r="A7" i="4"/>
  <c r="C5" i="4"/>
  <c r="F3" i="4"/>
  <c r="A2" i="4"/>
  <c r="C116" i="4"/>
  <c r="A114" i="4"/>
  <c r="C111" i="4"/>
  <c r="E108" i="4"/>
  <c r="G105" i="4"/>
  <c r="F103" i="4"/>
  <c r="B101" i="4"/>
  <c r="B99" i="4"/>
  <c r="F96" i="4"/>
  <c r="F94" i="4"/>
  <c r="B92" i="4"/>
  <c r="B90" i="4"/>
  <c r="F87" i="4"/>
  <c r="F85" i="4"/>
  <c r="B83" i="4"/>
  <c r="B81" i="4"/>
  <c r="F78" i="4"/>
  <c r="F76" i="4"/>
  <c r="B74" i="4"/>
  <c r="B72" i="4"/>
  <c r="F69" i="4"/>
  <c r="G67" i="4"/>
  <c r="H65" i="4"/>
  <c r="F63" i="4"/>
  <c r="G61" i="4"/>
  <c r="H59" i="4"/>
  <c r="F57" i="4"/>
  <c r="G55" i="4"/>
  <c r="H53" i="4"/>
  <c r="B52" i="4"/>
  <c r="B50" i="4"/>
  <c r="D48" i="4"/>
  <c r="F46" i="4"/>
  <c r="H44" i="4"/>
  <c r="B43" i="4"/>
  <c r="B41" i="4"/>
  <c r="E39" i="4"/>
  <c r="H37" i="4"/>
  <c r="C36" i="4"/>
  <c r="F34" i="4"/>
  <c r="A33" i="4"/>
  <c r="D31" i="4"/>
  <c r="G29" i="4"/>
  <c r="B28" i="4"/>
  <c r="E26" i="4"/>
  <c r="G24" i="4"/>
  <c r="B23" i="4"/>
  <c r="E21" i="4"/>
  <c r="H19" i="4"/>
  <c r="C18" i="4"/>
  <c r="F16" i="4"/>
  <c r="A15" i="4"/>
  <c r="D13" i="4"/>
  <c r="G11" i="4"/>
  <c r="B10" i="4"/>
  <c r="E8" i="4"/>
  <c r="G6" i="4"/>
  <c r="B5" i="4"/>
  <c r="E3" i="4"/>
  <c r="B116" i="4"/>
  <c r="C113" i="4"/>
  <c r="B111" i="4"/>
  <c r="D108" i="4"/>
  <c r="F105" i="4"/>
  <c r="E103" i="4"/>
  <c r="A101" i="4"/>
  <c r="A99" i="4"/>
  <c r="E96" i="4"/>
  <c r="E94" i="4"/>
  <c r="A92" i="4"/>
  <c r="A90" i="4"/>
  <c r="E87" i="4"/>
  <c r="E85" i="4"/>
  <c r="A83" i="4"/>
  <c r="A81" i="4"/>
  <c r="E78" i="4"/>
  <c r="E76" i="4"/>
  <c r="A74" i="4"/>
  <c r="A72" i="4"/>
  <c r="E69" i="4"/>
  <c r="F67" i="4"/>
  <c r="G65" i="4"/>
  <c r="E63" i="4"/>
  <c r="F61" i="4"/>
  <c r="G59" i="4"/>
  <c r="E57" i="4"/>
  <c r="F55" i="4"/>
  <c r="G53" i="4"/>
  <c r="G51" i="4"/>
  <c r="A50" i="4"/>
  <c r="C48" i="4"/>
  <c r="E46" i="4"/>
  <c r="G44" i="4"/>
  <c r="G42" i="4"/>
  <c r="A41" i="4"/>
  <c r="D39" i="4"/>
  <c r="G37" i="4"/>
  <c r="B36" i="4"/>
  <c r="E34" i="4"/>
  <c r="H32" i="4"/>
  <c r="C31" i="4"/>
  <c r="F29" i="4"/>
  <c r="A28" i="4"/>
  <c r="C26" i="4"/>
  <c r="F24" i="4"/>
  <c r="A23" i="4"/>
  <c r="D21" i="4"/>
  <c r="G19" i="4"/>
  <c r="B18" i="4"/>
  <c r="E16" i="4"/>
  <c r="H14" i="4"/>
  <c r="C13" i="4"/>
  <c r="F11" i="4"/>
  <c r="A10" i="4"/>
  <c r="C8" i="4"/>
  <c r="F6" i="4"/>
  <c r="A5" i="4"/>
  <c r="D3" i="4"/>
  <c r="A116" i="4"/>
  <c r="B113" i="4"/>
  <c r="A111" i="4"/>
  <c r="C108" i="4"/>
  <c r="E105" i="4"/>
  <c r="D103" i="4"/>
  <c r="H100" i="4"/>
  <c r="H98" i="4"/>
  <c r="D96" i="4"/>
  <c r="D94" i="4"/>
  <c r="H91" i="4"/>
  <c r="H89" i="4"/>
  <c r="D87" i="4"/>
  <c r="D85" i="4"/>
  <c r="H82" i="4"/>
  <c r="H80" i="4"/>
  <c r="D78" i="4"/>
  <c r="D76" i="4"/>
  <c r="H73" i="4"/>
  <c r="H71" i="4"/>
  <c r="D69" i="4"/>
  <c r="E67" i="4"/>
  <c r="C65" i="4"/>
  <c r="D63" i="4"/>
  <c r="E61" i="4"/>
  <c r="C59" i="4"/>
  <c r="D57" i="4"/>
  <c r="E55" i="4"/>
  <c r="F53" i="4"/>
  <c r="F51" i="4"/>
  <c r="H49" i="4"/>
  <c r="B48" i="4"/>
  <c r="D46" i="4"/>
  <c r="F44" i="4"/>
  <c r="F42" i="4"/>
  <c r="H40" i="4"/>
  <c r="C39" i="4"/>
  <c r="F37" i="4"/>
  <c r="A36" i="4"/>
  <c r="D34" i="4"/>
  <c r="G32" i="4"/>
  <c r="B31" i="4"/>
  <c r="E29" i="4"/>
  <c r="G27" i="4"/>
  <c r="B26" i="4"/>
  <c r="E24" i="4"/>
  <c r="H22" i="4"/>
  <c r="C21" i="4"/>
  <c r="F19" i="4"/>
  <c r="A18" i="4"/>
  <c r="D16" i="4"/>
  <c r="G14" i="4"/>
  <c r="B13" i="4"/>
  <c r="E11" i="4"/>
  <c r="G9" i="4"/>
  <c r="B8" i="4"/>
  <c r="E6" i="4"/>
  <c r="H4" i="4"/>
  <c r="C3" i="4"/>
  <c r="H115" i="4"/>
  <c r="A113" i="4"/>
  <c r="C110" i="4"/>
  <c r="B108" i="4"/>
  <c r="D105" i="4"/>
  <c r="G102" i="4"/>
  <c r="G100" i="4"/>
  <c r="C98" i="4"/>
  <c r="C96" i="4"/>
  <c r="G93" i="4"/>
  <c r="G91" i="4"/>
  <c r="C89" i="4"/>
  <c r="C87" i="4"/>
  <c r="G84" i="4"/>
  <c r="G82" i="4"/>
  <c r="C80" i="4"/>
  <c r="C78" i="4"/>
  <c r="G75" i="4"/>
  <c r="G73" i="4"/>
  <c r="C71" i="4"/>
  <c r="C69" i="4"/>
  <c r="D67" i="4"/>
  <c r="B65" i="4"/>
  <c r="C63" i="4"/>
  <c r="D61" i="4"/>
  <c r="B59" i="4"/>
  <c r="C57" i="4"/>
  <c r="D55" i="4"/>
  <c r="C53" i="4"/>
  <c r="E51" i="4"/>
  <c r="G49" i="4"/>
  <c r="A48" i="4"/>
  <c r="C46" i="4"/>
  <c r="C44" i="4"/>
  <c r="E42" i="4"/>
  <c r="G40" i="4"/>
  <c r="B39" i="4"/>
  <c r="E37" i="4"/>
  <c r="H35" i="4"/>
  <c r="C34" i="4"/>
  <c r="F32" i="4"/>
  <c r="A31" i="4"/>
  <c r="C29" i="4"/>
  <c r="F27" i="4"/>
  <c r="A26" i="4"/>
  <c r="D24" i="4"/>
  <c r="G22" i="4"/>
  <c r="B21" i="4"/>
  <c r="E19" i="4"/>
  <c r="H17" i="4"/>
  <c r="C16" i="4"/>
  <c r="F14" i="4"/>
  <c r="A13" i="4"/>
  <c r="C11" i="4"/>
  <c r="F9" i="4"/>
  <c r="A8" i="4"/>
  <c r="D6" i="4"/>
  <c r="G4" i="4"/>
  <c r="B3" i="4"/>
  <c r="F115" i="4"/>
  <c r="H112" i="4"/>
  <c r="B110" i="4"/>
  <c r="A108" i="4"/>
  <c r="C105" i="4"/>
  <c r="F102" i="4"/>
  <c r="F100" i="4"/>
  <c r="B98" i="4"/>
  <c r="B96" i="4"/>
  <c r="F93" i="4"/>
  <c r="F91" i="4"/>
  <c r="B89" i="4"/>
  <c r="B87" i="4"/>
  <c r="F84" i="4"/>
  <c r="F82" i="4"/>
  <c r="B80" i="4"/>
  <c r="B78" i="4"/>
  <c r="F75" i="4"/>
  <c r="F73" i="4"/>
  <c r="B71" i="4"/>
  <c r="B69" i="4"/>
  <c r="C67" i="4"/>
  <c r="A65" i="4"/>
  <c r="B63" i="4"/>
  <c r="C61" i="4"/>
  <c r="A59" i="4"/>
  <c r="B57" i="4"/>
  <c r="C55" i="4"/>
  <c r="B53" i="4"/>
  <c r="D51" i="4"/>
  <c r="F49" i="4"/>
  <c r="H47" i="4"/>
  <c r="B46" i="4"/>
  <c r="B44" i="4"/>
  <c r="D42" i="4"/>
  <c r="F40" i="4"/>
  <c r="A39" i="4"/>
  <c r="D37" i="4"/>
  <c r="G35" i="4"/>
  <c r="B34" i="4"/>
  <c r="E32" i="4"/>
  <c r="G30" i="4"/>
  <c r="B29" i="4"/>
  <c r="E27" i="4"/>
  <c r="H25" i="4"/>
  <c r="C24" i="4"/>
  <c r="F22" i="4"/>
  <c r="A21" i="4"/>
  <c r="D19" i="4"/>
  <c r="G17" i="4"/>
  <c r="B16" i="4"/>
  <c r="E14" i="4"/>
  <c r="G12" i="4"/>
  <c r="B11" i="4"/>
  <c r="E9" i="4"/>
  <c r="H7" i="4"/>
  <c r="C6" i="4"/>
  <c r="F4" i="4"/>
  <c r="A3" i="4"/>
  <c r="E115" i="4"/>
  <c r="G112" i="4"/>
  <c r="A110" i="4"/>
  <c r="C107" i="4"/>
  <c r="B105" i="4"/>
  <c r="E102" i="4"/>
  <c r="E100" i="4"/>
  <c r="A98" i="4"/>
  <c r="A96" i="4"/>
  <c r="E93" i="4"/>
  <c r="E91" i="4"/>
  <c r="A89" i="4"/>
  <c r="A87" i="4"/>
  <c r="E84" i="4"/>
  <c r="E82" i="4"/>
  <c r="A80" i="4"/>
  <c r="A78" i="4"/>
  <c r="E75" i="4"/>
  <c r="E73" i="4"/>
  <c r="A71" i="4"/>
  <c r="A69" i="4"/>
  <c r="G66" i="4"/>
  <c r="H64" i="4"/>
  <c r="A63" i="4"/>
  <c r="G60" i="4"/>
  <c r="H58" i="4"/>
  <c r="A57" i="4"/>
  <c r="G54" i="4"/>
  <c r="A53" i="4"/>
  <c r="C51" i="4"/>
  <c r="E49" i="4"/>
  <c r="G47" i="4"/>
  <c r="G45" i="4"/>
  <c r="A44" i="4"/>
  <c r="C42" i="4"/>
  <c r="E40" i="4"/>
  <c r="H38" i="4"/>
  <c r="C37" i="4"/>
  <c r="F35" i="4"/>
  <c r="A34" i="4"/>
  <c r="C32" i="4"/>
  <c r="F30" i="4"/>
  <c r="A29" i="4"/>
  <c r="D27" i="4"/>
  <c r="G25" i="4"/>
  <c r="B24" i="4"/>
  <c r="E22" i="4"/>
  <c r="H20" i="4"/>
  <c r="C19" i="4"/>
  <c r="F17" i="4"/>
  <c r="A16" i="4"/>
  <c r="C14" i="4"/>
  <c r="F12" i="4"/>
  <c r="A11" i="4"/>
  <c r="D9" i="4"/>
  <c r="G7" i="4"/>
  <c r="B6" i="4"/>
  <c r="E4" i="4"/>
  <c r="H2" i="4"/>
  <c r="G114" i="4"/>
  <c r="F112" i="4"/>
  <c r="H109" i="4"/>
  <c r="B107" i="4"/>
  <c r="A105" i="4"/>
  <c r="D102" i="4"/>
  <c r="D100" i="4"/>
  <c r="H97" i="4"/>
  <c r="H95" i="4"/>
  <c r="D93" i="4"/>
  <c r="D91" i="4"/>
  <c r="H88" i="4"/>
  <c r="H86" i="4"/>
  <c r="D84" i="4"/>
  <c r="D82" i="4"/>
  <c r="H79" i="4"/>
  <c r="H77" i="4"/>
  <c r="D75" i="4"/>
  <c r="D73" i="4"/>
  <c r="H70" i="4"/>
  <c r="H68" i="4"/>
  <c r="F66" i="4"/>
  <c r="G64" i="4"/>
  <c r="H62" i="4"/>
  <c r="F60" i="4"/>
  <c r="G58" i="4"/>
  <c r="H56" i="4"/>
  <c r="F54" i="4"/>
  <c r="H52" i="4"/>
  <c r="B51" i="4"/>
  <c r="D49" i="4"/>
  <c r="F47" i="4"/>
  <c r="F45" i="4"/>
  <c r="H43" i="4"/>
  <c r="B42" i="4"/>
  <c r="D40" i="4"/>
  <c r="G38" i="4"/>
  <c r="B37" i="4"/>
  <c r="E35" i="4"/>
  <c r="G33" i="4"/>
  <c r="B32" i="4"/>
  <c r="E30" i="4"/>
  <c r="H28" i="4"/>
  <c r="C27" i="4"/>
  <c r="F25" i="4"/>
  <c r="A24" i="4"/>
  <c r="D22" i="4"/>
  <c r="G20" i="4"/>
  <c r="B19" i="4"/>
  <c r="E17" i="4"/>
  <c r="G15" i="4"/>
  <c r="B14" i="4"/>
  <c r="E12" i="4"/>
  <c r="H10" i="4"/>
  <c r="C9" i="4"/>
  <c r="F7" i="4"/>
  <c r="A6" i="4"/>
  <c r="D4" i="4"/>
  <c r="G2" i="4"/>
  <c r="B104" i="4"/>
  <c r="F90" i="4"/>
  <c r="B77" i="4"/>
  <c r="E64" i="4"/>
  <c r="F52" i="4"/>
  <c r="H41" i="4"/>
  <c r="H31" i="4"/>
  <c r="B22" i="4"/>
  <c r="C12" i="4"/>
  <c r="E2" i="4"/>
  <c r="C102" i="4"/>
  <c r="G88" i="4"/>
  <c r="C75" i="4"/>
  <c r="G62" i="4"/>
  <c r="A51" i="4"/>
  <c r="C40" i="4"/>
  <c r="D30" i="4"/>
  <c r="F20" i="4"/>
  <c r="G10" i="4"/>
  <c r="B102" i="4"/>
  <c r="F88" i="4"/>
  <c r="B75" i="4"/>
  <c r="C62" i="4"/>
  <c r="H50" i="4"/>
  <c r="B40" i="4"/>
  <c r="C30" i="4"/>
  <c r="E20" i="4"/>
  <c r="F10" i="4"/>
  <c r="F114" i="4"/>
  <c r="G99" i="4"/>
  <c r="C86" i="4"/>
  <c r="G72" i="4"/>
  <c r="E60" i="4"/>
  <c r="C49" i="4"/>
  <c r="F38" i="4"/>
  <c r="G28" i="4"/>
  <c r="A19" i="4"/>
  <c r="B9" i="4"/>
  <c r="E114" i="4"/>
  <c r="F99" i="4"/>
  <c r="B86" i="4"/>
  <c r="F72" i="4"/>
  <c r="D60" i="4"/>
  <c r="B49" i="4"/>
  <c r="E38" i="4"/>
  <c r="F28" i="4"/>
  <c r="G18" i="4"/>
  <c r="A9" i="4"/>
  <c r="E112" i="4"/>
  <c r="G97" i="4"/>
  <c r="C84" i="4"/>
  <c r="G70" i="4"/>
  <c r="F58" i="4"/>
  <c r="C47" i="4"/>
  <c r="A37" i="4"/>
  <c r="B27" i="4"/>
  <c r="C17" i="4"/>
  <c r="E7" i="4"/>
  <c r="G111" i="4"/>
  <c r="F97" i="4"/>
  <c r="B84" i="4"/>
  <c r="F70" i="4"/>
  <c r="E58" i="4"/>
  <c r="B47" i="4"/>
  <c r="G36" i="4"/>
  <c r="A27" i="4"/>
  <c r="B17" i="4"/>
  <c r="D7" i="4"/>
  <c r="G109" i="4"/>
  <c r="C95" i="4"/>
  <c r="G81" i="4"/>
  <c r="G68" i="4"/>
  <c r="G56" i="4"/>
  <c r="E45" i="4"/>
  <c r="C35" i="4"/>
  <c r="E25" i="4"/>
  <c r="F15" i="4"/>
  <c r="H5" i="4"/>
  <c r="F109" i="4"/>
  <c r="B95" i="4"/>
  <c r="F81" i="4"/>
  <c r="C68" i="4"/>
  <c r="C56" i="4"/>
  <c r="D45" i="4"/>
  <c r="B35" i="4"/>
  <c r="D25" i="4"/>
  <c r="E15" i="4"/>
  <c r="G5" i="4"/>
  <c r="A107" i="4"/>
  <c r="C93" i="4"/>
  <c r="G79" i="4"/>
  <c r="E66" i="4"/>
  <c r="E54" i="4"/>
  <c r="G43" i="4"/>
  <c r="F33" i="4"/>
  <c r="H23" i="4"/>
  <c r="A14" i="4"/>
  <c r="C4" i="4"/>
  <c r="H106" i="4"/>
  <c r="B93" i="4"/>
  <c r="F79" i="4"/>
  <c r="D66" i="4"/>
  <c r="D54" i="4"/>
  <c r="F43" i="4"/>
  <c r="E33" i="4"/>
  <c r="G23" i="4"/>
  <c r="H13" i="4"/>
  <c r="B4" i="4"/>
  <c r="C104" i="4"/>
  <c r="G90" i="4"/>
  <c r="C77" i="4"/>
  <c r="F64" i="4"/>
  <c r="G52" i="4"/>
  <c r="A42" i="4"/>
  <c r="A32" i="4"/>
  <c r="C22" i="4"/>
  <c r="D12" i="4"/>
  <c r="F2" i="4"/>
</calcChain>
</file>

<file path=xl/sharedStrings.xml><?xml version="1.0" encoding="utf-8"?>
<sst xmlns="http://schemas.openxmlformats.org/spreadsheetml/2006/main" count="750" uniqueCount="410">
  <si>
    <t>Month-End Bank Reconciliation &amp; Close Dashboard</t>
  </si>
  <si>
    <t>Self-directed portfolio project with realistic sample data, formulas, controls, and dashboard</t>
  </si>
  <si>
    <t>Section</t>
  </si>
  <si>
    <t>Details</t>
  </si>
  <si>
    <t>Business Problem</t>
  </si>
  <si>
    <t>Accounting teams need to reconcile bank transactions to GL cash records and find unmatched items, timing differences, and amount variances.</t>
  </si>
  <si>
    <t>How to Use</t>
  </si>
  <si>
    <t>Replace the sample data with company exports, refresh formulas, review the Exceptions sheet, then present the Dashboard KPIs.</t>
  </si>
  <si>
    <t>Excel / Finance Skills Shown</t>
  </si>
  <si>
    <t>COUNTIF matching, helper sequence, INDEX/MATCH exception extraction, variance formulas, unmatched item flags, close dashboard, and exception reporting.</t>
  </si>
  <si>
    <t>Bank_ID</t>
  </si>
  <si>
    <t>Date</t>
  </si>
  <si>
    <t>Reference</t>
  </si>
  <si>
    <t>Description</t>
  </si>
  <si>
    <t>Bank_Amount</t>
  </si>
  <si>
    <t>Match_Key</t>
  </si>
  <si>
    <t>BNK-0001</t>
  </si>
  <si>
    <t>REF-1001</t>
  </si>
  <si>
    <t>Deposit</t>
  </si>
  <si>
    <t>BNK-0002</t>
  </si>
  <si>
    <t>REF-1002</t>
  </si>
  <si>
    <t>BNK-0003</t>
  </si>
  <si>
    <t>REF-1003</t>
  </si>
  <si>
    <t>Supplier Payment</t>
  </si>
  <si>
    <t>BNK-0004</t>
  </si>
  <si>
    <t>REF-1004</t>
  </si>
  <si>
    <t>Bank Fee</t>
  </si>
  <si>
    <t>BNK-0005</t>
  </si>
  <si>
    <t>REF-1005</t>
  </si>
  <si>
    <t>BNK-0006</t>
  </si>
  <si>
    <t>REF-1006</t>
  </si>
  <si>
    <t>BNK-0007</t>
  </si>
  <si>
    <t>REF-1007</t>
  </si>
  <si>
    <t>Customer EFT</t>
  </si>
  <si>
    <t>BNK-0008</t>
  </si>
  <si>
    <t>REF-1008</t>
  </si>
  <si>
    <t>BNK-0009</t>
  </si>
  <si>
    <t>REF-1009</t>
  </si>
  <si>
    <t>BNK-0010</t>
  </si>
  <si>
    <t>REF-1010</t>
  </si>
  <si>
    <t>BNK-0011</t>
  </si>
  <si>
    <t>REF-1011</t>
  </si>
  <si>
    <t>BNK-0012</t>
  </si>
  <si>
    <t>REF-1012</t>
  </si>
  <si>
    <t>BNK-0013</t>
  </si>
  <si>
    <t>REF-1013</t>
  </si>
  <si>
    <t>BNK-0014</t>
  </si>
  <si>
    <t>REF-1014</t>
  </si>
  <si>
    <t>BNK-0015</t>
  </si>
  <si>
    <t>REF-1015</t>
  </si>
  <si>
    <t>BNK-0016</t>
  </si>
  <si>
    <t>REF-1016</t>
  </si>
  <si>
    <t>BNK-0017</t>
  </si>
  <si>
    <t>REF-1017</t>
  </si>
  <si>
    <t>BNK-0018</t>
  </si>
  <si>
    <t>REF-1018</t>
  </si>
  <si>
    <t>BNK-0019</t>
  </si>
  <si>
    <t>REF-1019</t>
  </si>
  <si>
    <t>Payroll</t>
  </si>
  <si>
    <t>BNK-0020</t>
  </si>
  <si>
    <t>REF-1020</t>
  </si>
  <si>
    <t>BNK-0021</t>
  </si>
  <si>
    <t>REF-1021</t>
  </si>
  <si>
    <t>BNK-0022</t>
  </si>
  <si>
    <t>REF-1022</t>
  </si>
  <si>
    <t>BNK-0023</t>
  </si>
  <si>
    <t>REF-1023</t>
  </si>
  <si>
    <t>BNK-0024</t>
  </si>
  <si>
    <t>REF-1024</t>
  </si>
  <si>
    <t>BNK-0025</t>
  </si>
  <si>
    <t>REF-1025</t>
  </si>
  <si>
    <t>BNK-0026</t>
  </si>
  <si>
    <t>REF-1026</t>
  </si>
  <si>
    <t>BNK-0027</t>
  </si>
  <si>
    <t>REF-1027</t>
  </si>
  <si>
    <t>BNK-0028</t>
  </si>
  <si>
    <t>REF-1028</t>
  </si>
  <si>
    <t>BNK-0029</t>
  </si>
  <si>
    <t>REF-1029</t>
  </si>
  <si>
    <t>BNK-0030</t>
  </si>
  <si>
    <t>REF-1030</t>
  </si>
  <si>
    <t>BNK-0031</t>
  </si>
  <si>
    <t>REF-1031</t>
  </si>
  <si>
    <t>BNK-0032</t>
  </si>
  <si>
    <t>REF-1032</t>
  </si>
  <si>
    <t>BNK-0033</t>
  </si>
  <si>
    <t>REF-1033</t>
  </si>
  <si>
    <t>BNK-0034</t>
  </si>
  <si>
    <t>REF-1034</t>
  </si>
  <si>
    <t>BNK-0035</t>
  </si>
  <si>
    <t>REF-1035</t>
  </si>
  <si>
    <t>BNK-0036</t>
  </si>
  <si>
    <t>REF-1036</t>
  </si>
  <si>
    <t>BNK-0037</t>
  </si>
  <si>
    <t>REF-1037</t>
  </si>
  <si>
    <t>BNK-0038</t>
  </si>
  <si>
    <t>REF-1038</t>
  </si>
  <si>
    <t>BNK-0039</t>
  </si>
  <si>
    <t>REF-1039</t>
  </si>
  <si>
    <t>BNK-0040</t>
  </si>
  <si>
    <t>REF-1040</t>
  </si>
  <si>
    <t>BNK-0041</t>
  </si>
  <si>
    <t>REF-1041</t>
  </si>
  <si>
    <t>BNK-0042</t>
  </si>
  <si>
    <t>REF-1042</t>
  </si>
  <si>
    <t>BNK-0043</t>
  </si>
  <si>
    <t>REF-1043</t>
  </si>
  <si>
    <t>BNK-0044</t>
  </si>
  <si>
    <t>REF-1044</t>
  </si>
  <si>
    <t>BNK-0045</t>
  </si>
  <si>
    <t>REF-1045</t>
  </si>
  <si>
    <t>BNK-0046</t>
  </si>
  <si>
    <t>REF-1046</t>
  </si>
  <si>
    <t>BNK-0047</t>
  </si>
  <si>
    <t>REF-1047</t>
  </si>
  <si>
    <t>BNK-0048</t>
  </si>
  <si>
    <t>REF-1048</t>
  </si>
  <si>
    <t>BNK-0049</t>
  </si>
  <si>
    <t>REF-1049</t>
  </si>
  <si>
    <t>BNK-0050</t>
  </si>
  <si>
    <t>REF-1050</t>
  </si>
  <si>
    <t>BNK-0051</t>
  </si>
  <si>
    <t>REF-1051</t>
  </si>
  <si>
    <t>BNK-0052</t>
  </si>
  <si>
    <t>REF-1052</t>
  </si>
  <si>
    <t>BNK-0053</t>
  </si>
  <si>
    <t>REF-1053</t>
  </si>
  <si>
    <t>BNK-0054</t>
  </si>
  <si>
    <t>REF-1054</t>
  </si>
  <si>
    <t>BNK-0055</t>
  </si>
  <si>
    <t>REF-1055</t>
  </si>
  <si>
    <t>BNK-0056</t>
  </si>
  <si>
    <t>REF-1056</t>
  </si>
  <si>
    <t>BNK-0057</t>
  </si>
  <si>
    <t>REF-1057</t>
  </si>
  <si>
    <t>BNK-0058</t>
  </si>
  <si>
    <t>REF-1058</t>
  </si>
  <si>
    <t>BNK-0059</t>
  </si>
  <si>
    <t>REF-1059</t>
  </si>
  <si>
    <t>BNK-0060</t>
  </si>
  <si>
    <t>REF-1060</t>
  </si>
  <si>
    <t>BNK-0061</t>
  </si>
  <si>
    <t>REF-1061</t>
  </si>
  <si>
    <t>BNK-0062</t>
  </si>
  <si>
    <t>REF-1062</t>
  </si>
  <si>
    <t>BNK-0063</t>
  </si>
  <si>
    <t>REF-1063</t>
  </si>
  <si>
    <t>BNK-0064</t>
  </si>
  <si>
    <t>REF-1064</t>
  </si>
  <si>
    <t>BNK-0065</t>
  </si>
  <si>
    <t>REF-1065</t>
  </si>
  <si>
    <t>BNK-0066</t>
  </si>
  <si>
    <t>REF-1066</t>
  </si>
  <si>
    <t>BNK-0067</t>
  </si>
  <si>
    <t>REF-1067</t>
  </si>
  <si>
    <t>BNK-0068</t>
  </si>
  <si>
    <t>REF-1068</t>
  </si>
  <si>
    <t>BNK-0069</t>
  </si>
  <si>
    <t>REF-1069</t>
  </si>
  <si>
    <t>BNK-0070</t>
  </si>
  <si>
    <t>REF-1070</t>
  </si>
  <si>
    <t>BNK-0071</t>
  </si>
  <si>
    <t>REF-1071</t>
  </si>
  <si>
    <t>BNK-0072</t>
  </si>
  <si>
    <t>REF-1072</t>
  </si>
  <si>
    <t>BNK-0073</t>
  </si>
  <si>
    <t>REF-1073</t>
  </si>
  <si>
    <t>BNK-0074</t>
  </si>
  <si>
    <t>REF-1074</t>
  </si>
  <si>
    <t>BNK-0075</t>
  </si>
  <si>
    <t>REF-1075</t>
  </si>
  <si>
    <t>BNK-0076</t>
  </si>
  <si>
    <t>REF-1076</t>
  </si>
  <si>
    <t>BNK-0077</t>
  </si>
  <si>
    <t>REF-1077</t>
  </si>
  <si>
    <t>BNK-0078</t>
  </si>
  <si>
    <t>REF-1078</t>
  </si>
  <si>
    <t>BNK-0079</t>
  </si>
  <si>
    <t>REF-1079</t>
  </si>
  <si>
    <t>BNK-0080</t>
  </si>
  <si>
    <t>REF-1080</t>
  </si>
  <si>
    <t>BNK-0081</t>
  </si>
  <si>
    <t>REF-1081</t>
  </si>
  <si>
    <t>BNK-0082</t>
  </si>
  <si>
    <t>REF-1082</t>
  </si>
  <si>
    <t>BNK-0083</t>
  </si>
  <si>
    <t>REF-1083</t>
  </si>
  <si>
    <t>BNK-0084</t>
  </si>
  <si>
    <t>REF-1084</t>
  </si>
  <si>
    <t>BNK-0085</t>
  </si>
  <si>
    <t>REF-1085</t>
  </si>
  <si>
    <t>BNK-0086</t>
  </si>
  <si>
    <t>REF-1086</t>
  </si>
  <si>
    <t>BNK-0087</t>
  </si>
  <si>
    <t>REF-1087</t>
  </si>
  <si>
    <t>BNK-0088</t>
  </si>
  <si>
    <t>REF-1088</t>
  </si>
  <si>
    <t>BNK-0089</t>
  </si>
  <si>
    <t>REF-1089</t>
  </si>
  <si>
    <t>BNK-0090</t>
  </si>
  <si>
    <t>REF-1090</t>
  </si>
  <si>
    <t>BNK-0091</t>
  </si>
  <si>
    <t>REF-1091</t>
  </si>
  <si>
    <t>BNK-0092</t>
  </si>
  <si>
    <t>REF-1092</t>
  </si>
  <si>
    <t>BNK-0093</t>
  </si>
  <si>
    <t>REF-1093</t>
  </si>
  <si>
    <t>BNK-0094</t>
  </si>
  <si>
    <t>REF-1094</t>
  </si>
  <si>
    <t>BNK-0095</t>
  </si>
  <si>
    <t>REF-1095</t>
  </si>
  <si>
    <t>BNK-0096</t>
  </si>
  <si>
    <t>REF-1096</t>
  </si>
  <si>
    <t>BNK-0097</t>
  </si>
  <si>
    <t>REF-1097</t>
  </si>
  <si>
    <t>BNK-0098</t>
  </si>
  <si>
    <t>REF-1098</t>
  </si>
  <si>
    <t>BNK-0099</t>
  </si>
  <si>
    <t>REF-1099</t>
  </si>
  <si>
    <t>BNK-0100</t>
  </si>
  <si>
    <t>REF-1100</t>
  </si>
  <si>
    <t>BNK-0101</t>
  </si>
  <si>
    <t>REF-1101</t>
  </si>
  <si>
    <t>BNK-0102</t>
  </si>
  <si>
    <t>REF-1102</t>
  </si>
  <si>
    <t>BNK-0103</t>
  </si>
  <si>
    <t>REF-1103</t>
  </si>
  <si>
    <t>BNK-0104</t>
  </si>
  <si>
    <t>REF-1104</t>
  </si>
  <si>
    <t>BNK-0105</t>
  </si>
  <si>
    <t>REF-1105</t>
  </si>
  <si>
    <t>BNK-0106</t>
  </si>
  <si>
    <t>REF-1106</t>
  </si>
  <si>
    <t>BNK-0107</t>
  </si>
  <si>
    <t>REF-1107</t>
  </si>
  <si>
    <t>BNK-0108</t>
  </si>
  <si>
    <t>REF-1108</t>
  </si>
  <si>
    <t>BNK-0109</t>
  </si>
  <si>
    <t>REF-1109</t>
  </si>
  <si>
    <t>BNK-0110</t>
  </si>
  <si>
    <t>REF-1110</t>
  </si>
  <si>
    <t>BNK-0111</t>
  </si>
  <si>
    <t>REF-1111</t>
  </si>
  <si>
    <t>BNK-0112</t>
  </si>
  <si>
    <t>REF-1112</t>
  </si>
  <si>
    <t>BNK-0113</t>
  </si>
  <si>
    <t>REF-1113</t>
  </si>
  <si>
    <t>BNK-0114</t>
  </si>
  <si>
    <t>REF-1114</t>
  </si>
  <si>
    <t>BNK-0115</t>
  </si>
  <si>
    <t>REF-1115</t>
  </si>
  <si>
    <t>BNK-0116</t>
  </si>
  <si>
    <t>REF-1116</t>
  </si>
  <si>
    <t>BNK-0117</t>
  </si>
  <si>
    <t>REF-1117</t>
  </si>
  <si>
    <t>BNK-0118</t>
  </si>
  <si>
    <t>REF-1118</t>
  </si>
  <si>
    <t>BNK-0119</t>
  </si>
  <si>
    <t>REF-1119</t>
  </si>
  <si>
    <t>BNK-0120</t>
  </si>
  <si>
    <t>REF-1120</t>
  </si>
  <si>
    <t>GL_ID</t>
  </si>
  <si>
    <t>Posting_Date</t>
  </si>
  <si>
    <t>GL_Amount</t>
  </si>
  <si>
    <t>Recon_Status</t>
  </si>
  <si>
    <t>Variance</t>
  </si>
  <si>
    <t>Exception_Seq</t>
  </si>
  <si>
    <t>GL-0001</t>
  </si>
  <si>
    <t>Cash posting</t>
  </si>
  <si>
    <t>GL-0002</t>
  </si>
  <si>
    <t>GL-0003</t>
  </si>
  <si>
    <t>GL-0004</t>
  </si>
  <si>
    <t>GL-0005</t>
  </si>
  <si>
    <t>GL-0006</t>
  </si>
  <si>
    <t>GL-0007</t>
  </si>
  <si>
    <t>GL-0008</t>
  </si>
  <si>
    <t>GL-0009</t>
  </si>
  <si>
    <t>GL-0010</t>
  </si>
  <si>
    <t>GL-0011</t>
  </si>
  <si>
    <t>GL-0012</t>
  </si>
  <si>
    <t>GL-0013</t>
  </si>
  <si>
    <t>GL-0014</t>
  </si>
  <si>
    <t>GL-0015</t>
  </si>
  <si>
    <t>GL-0016</t>
  </si>
  <si>
    <t>GL-0017</t>
  </si>
  <si>
    <t>GL-0018</t>
  </si>
  <si>
    <t>GL-0019</t>
  </si>
  <si>
    <t>GL-0020</t>
  </si>
  <si>
    <t>GL-0021</t>
  </si>
  <si>
    <t>GL-0022</t>
  </si>
  <si>
    <t>GL-0023</t>
  </si>
  <si>
    <t>GL-0024</t>
  </si>
  <si>
    <t>GL-0025</t>
  </si>
  <si>
    <t>GL-0026</t>
  </si>
  <si>
    <t>GL-0027</t>
  </si>
  <si>
    <t>GL-0028</t>
  </si>
  <si>
    <t>GL-0029</t>
  </si>
  <si>
    <t>GL-0030</t>
  </si>
  <si>
    <t>GL-0031</t>
  </si>
  <si>
    <t>GL-0032</t>
  </si>
  <si>
    <t>GL-0033</t>
  </si>
  <si>
    <t>GL-0034</t>
  </si>
  <si>
    <t>GL-0035</t>
  </si>
  <si>
    <t>GL-0036</t>
  </si>
  <si>
    <t>GL-0037</t>
  </si>
  <si>
    <t>GL-0038</t>
  </si>
  <si>
    <t>GL-0039</t>
  </si>
  <si>
    <t>GL-0040</t>
  </si>
  <si>
    <t>GL-0041</t>
  </si>
  <si>
    <t>GL-0042</t>
  </si>
  <si>
    <t>GL-0043</t>
  </si>
  <si>
    <t>GL-0044</t>
  </si>
  <si>
    <t>GL-0045</t>
  </si>
  <si>
    <t>GL-0046</t>
  </si>
  <si>
    <t>GL-0047</t>
  </si>
  <si>
    <t>GL-0048</t>
  </si>
  <si>
    <t>GL-0049</t>
  </si>
  <si>
    <t>GL-0050</t>
  </si>
  <si>
    <t>GL-0051</t>
  </si>
  <si>
    <t>GL-0052</t>
  </si>
  <si>
    <t>GL-0053</t>
  </si>
  <si>
    <t>GL-0054</t>
  </si>
  <si>
    <t>GL-0055</t>
  </si>
  <si>
    <t>GL-0056</t>
  </si>
  <si>
    <t>GL-0057</t>
  </si>
  <si>
    <t>GL-0058</t>
  </si>
  <si>
    <t>GL-0059</t>
  </si>
  <si>
    <t>GL-0060</t>
  </si>
  <si>
    <t>GL-0061</t>
  </si>
  <si>
    <t>GL-0062</t>
  </si>
  <si>
    <t>GL-0063</t>
  </si>
  <si>
    <t>GL-0064</t>
  </si>
  <si>
    <t>GL-0065</t>
  </si>
  <si>
    <t>GL-0066</t>
  </si>
  <si>
    <t>GL-0067</t>
  </si>
  <si>
    <t>GL-0068</t>
  </si>
  <si>
    <t>GL-0069</t>
  </si>
  <si>
    <t>GL-0070</t>
  </si>
  <si>
    <t>GL-0071</t>
  </si>
  <si>
    <t>GL-0072</t>
  </si>
  <si>
    <t>GL-0073</t>
  </si>
  <si>
    <t>GL-0074</t>
  </si>
  <si>
    <t>GL-0075</t>
  </si>
  <si>
    <t>GL-0076</t>
  </si>
  <si>
    <t>GL-0077</t>
  </si>
  <si>
    <t>GL-0078</t>
  </si>
  <si>
    <t>GL-0079</t>
  </si>
  <si>
    <t>GL-0080</t>
  </si>
  <si>
    <t>GL-0081</t>
  </si>
  <si>
    <t>GL-0082</t>
  </si>
  <si>
    <t>GL-0083</t>
  </si>
  <si>
    <t>GL-0084</t>
  </si>
  <si>
    <t>GL-0085</t>
  </si>
  <si>
    <t>GL-0086</t>
  </si>
  <si>
    <t>GL-0087</t>
  </si>
  <si>
    <t>GL-0088</t>
  </si>
  <si>
    <t>GL-0089</t>
  </si>
  <si>
    <t>GL-0090</t>
  </si>
  <si>
    <t>GL-0091</t>
  </si>
  <si>
    <t>GL-0092</t>
  </si>
  <si>
    <t>GL-0093</t>
  </si>
  <si>
    <t>GL-0094</t>
  </si>
  <si>
    <t>GL-0095</t>
  </si>
  <si>
    <t>GL-0096</t>
  </si>
  <si>
    <t>GL-0097</t>
  </si>
  <si>
    <t>GL-0098</t>
  </si>
  <si>
    <t>GL-0099</t>
  </si>
  <si>
    <t>GL-0100</t>
  </si>
  <si>
    <t>GL-0101</t>
  </si>
  <si>
    <t>GLONLY-101</t>
  </si>
  <si>
    <t>Manual entry</t>
  </si>
  <si>
    <t>GL-0102</t>
  </si>
  <si>
    <t>GLONLY-102</t>
  </si>
  <si>
    <t>GL-0103</t>
  </si>
  <si>
    <t>GLONLY-103</t>
  </si>
  <si>
    <t>GL-0104</t>
  </si>
  <si>
    <t>GLONLY-104</t>
  </si>
  <si>
    <t>GL-0105</t>
  </si>
  <si>
    <t>GLONLY-105</t>
  </si>
  <si>
    <t>GL-0106</t>
  </si>
  <si>
    <t>GLONLY-106</t>
  </si>
  <si>
    <t>GL-0107</t>
  </si>
  <si>
    <t>GLONLY-107</t>
  </si>
  <si>
    <t>GL-0108</t>
  </si>
  <si>
    <t>GLONLY-108</t>
  </si>
  <si>
    <t>GL-0109</t>
  </si>
  <si>
    <t>GLONLY-109</t>
  </si>
  <si>
    <t>GL-0110</t>
  </si>
  <si>
    <t>GLONLY-110</t>
  </si>
  <si>
    <t>GL-0111</t>
  </si>
  <si>
    <t>GLONLY-111</t>
  </si>
  <si>
    <t>GL-0112</t>
  </si>
  <si>
    <t>GLONLY-112</t>
  </si>
  <si>
    <t>GL-0113</t>
  </si>
  <si>
    <t>GLONLY-113</t>
  </si>
  <si>
    <t>GL-0114</t>
  </si>
  <si>
    <t>GLONLY-114</t>
  </si>
  <si>
    <t>GL-0115</t>
  </si>
  <si>
    <t>GLONLY-115</t>
  </si>
  <si>
    <t>Bank Reconciliation Dashboard</t>
  </si>
  <si>
    <t>KPI</t>
  </si>
  <si>
    <t>Value</t>
  </si>
  <si>
    <t>Category</t>
  </si>
  <si>
    <t>Bank Balance</t>
  </si>
  <si>
    <t>Matched</t>
  </si>
  <si>
    <t>GL Balance</t>
  </si>
  <si>
    <t>Unmatched GL Item</t>
  </si>
  <si>
    <t>Difference</t>
  </si>
  <si>
    <t>Matched GL Items</t>
  </si>
  <si>
    <t>Unmatched GL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</si>
</sst>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\$#,##0"/>
    <numFmt numFmtId="167" formatCode="\$#,##0.00;\-\$#,##0.00"/>
  </numFmts>
  <fonts count="7">
    <font>
      <sz val="11"/>
      <name val="Carlito"/>
    </font>
    <font>
      <b/>
      <sz val="15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  <font>
      <b/>
      <sz val="11"/>
      <color rgb="FF9C0006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DE9E7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vertical="center"/>
    </xf>
    <xf numFmtId="165" fontId="0" fillId="0" borderId="9" xfId="0" applyNumberFormat="1" applyBorder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1" fontId="0" fillId="0" borderId="0" xfId="0" applyNumberFormat="1"/>
    <xf numFmtId="0" fontId="4" fillId="8" borderId="0" xfId="0" applyFont="1" applyFill="1"/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0" fillId="0" borderId="0" xfId="0" applyNumberFormat="1"/>
    <xf numFmtId="167" fontId="0" fillId="0" borderId="0" xfId="0" applyNumberFormat="1"/>
    <xf numFmtId="167" fontId="5" fillId="9" borderId="0" xfId="0" applyNumberFormat="1" applyFont="1" applyFill="1"/>
    <xf numFmtId="167" fontId="6" fillId="10" borderId="0" xfId="0" applyNumberFormat="1" applyFont="1" applyFill="1"/>
    <xf numFmtId="0" fontId="0" fillId="0" borderId="0" xfId="0" applyAlignment="1">
      <alignment horizontal="center"/>
    </xf>
    <xf numFmtId="0" fontId="3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invertIfNegative val="1"/>
          <c:cat>
            <c:strRef>
              <c:f>Dashboard!$D$5:$D$6</c:f>
              <c:strCache>
                <c:ptCount val="2"/>
                <c:pt idx="0">
                  <c:v>Matched</c:v>
                </c:pt>
                <c:pt idx="1">
                  <c:v>Unmatched GL Item</c:v>
                </c:pt>
              </c:strCache>
            </c:strRef>
          </c:cat>
          <c:val>
            <c:numRef>
              <c:f>Dashboard!$E$5:$E$6</c:f>
              <c:numCache>
                <c:formatCode>0</c:formatCode>
                <c:ptCount val="2"/>
                <c:pt idx="0">
                  <c:v>80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A-4B29-8641-534008F9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7" sqref="B7"/>
    </sheetView>
  </sheetViews>
  <sheetFormatPr defaultRowHeight="13.8"/>
  <cols>
    <col min="1" max="1" width="26" customWidth="1"/>
    <col min="2" max="2" width="90" customWidth="1"/>
  </cols>
  <sheetData>
    <row r="1" spans="1:2" ht="22.35" customHeight="1">
      <c r="A1" s="34" t="s">
        <v>0</v>
      </c>
      <c r="B1" s="34"/>
    </row>
    <row r="2" spans="1:2" ht="24" customHeight="1">
      <c r="A2" s="1" t="s">
        <v>2</v>
      </c>
      <c r="B2" s="1" t="s">
        <v>3</v>
      </c>
    </row>
    <row r="3" spans="1:2" ht="41.55" customHeight="1">
      <c r="A3" s="2" t="s">
        <v>4</v>
      </c>
      <c r="B3" s="3" t="s">
        <v>5</v>
      </c>
    </row>
    <row r="4" spans="1:2" ht="41.55" customHeight="1">
      <c r="A4" s="2" t="s">
        <v>6</v>
      </c>
      <c r="B4" s="3" t="s">
        <v>7</v>
      </c>
    </row>
    <row r="5" spans="1:2" ht="41.55" customHeight="1">
      <c r="A5" s="2" t="s">
        <v>8</v>
      </c>
      <c r="B5" s="3" t="s">
        <v>9</v>
      </c>
    </row>
    <row r="6" spans="1:2" ht="41.55" customHeight="1"/>
    <row r="7" spans="1:2" ht="41.55" customHeight="1"/>
    <row r="8" spans="1:2" ht="41.55" customHeight="1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/>
  </sheetViews>
  <sheetFormatPr defaultRowHeight="13.8"/>
  <cols>
    <col min="1" max="1" width="12" customWidth="1"/>
    <col min="2" max="2" width="13" customWidth="1"/>
    <col min="3" max="3" width="14" customWidth="1"/>
    <col min="4" max="4" width="22" customWidth="1"/>
    <col min="5" max="5" width="14" customWidth="1"/>
    <col min="6" max="6" width="24" customWidth="1"/>
  </cols>
  <sheetData>
    <row r="1" spans="1:6" ht="24" customHeight="1">
      <c r="A1" s="5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</row>
    <row r="2" spans="1:6">
      <c r="A2" s="8" t="s">
        <v>16</v>
      </c>
      <c r="B2" s="14">
        <v>46159</v>
      </c>
      <c r="C2" s="9" t="s">
        <v>17</v>
      </c>
      <c r="D2" s="9" t="s">
        <v>18</v>
      </c>
      <c r="E2" s="16">
        <v>-4477.3500000000004</v>
      </c>
      <c r="F2" s="10" t="str">
        <f t="shared" ref="F2:F33" si="0">C2&amp;"|"&amp;ROUND(E2,2)</f>
        <v>REF-1001|-4477.35</v>
      </c>
    </row>
    <row r="3" spans="1:6">
      <c r="A3" s="8" t="s">
        <v>19</v>
      </c>
      <c r="B3" s="14">
        <v>46150</v>
      </c>
      <c r="C3" s="9" t="s">
        <v>20</v>
      </c>
      <c r="D3" s="9" t="s">
        <v>18</v>
      </c>
      <c r="E3" s="16">
        <v>-294.75</v>
      </c>
      <c r="F3" s="10" t="str">
        <f t="shared" si="0"/>
        <v>REF-1002|-294.75</v>
      </c>
    </row>
    <row r="4" spans="1:6">
      <c r="A4" s="8" t="s">
        <v>21</v>
      </c>
      <c r="B4" s="14">
        <v>46144</v>
      </c>
      <c r="C4" s="9" t="s">
        <v>22</v>
      </c>
      <c r="D4" s="9" t="s">
        <v>23</v>
      </c>
      <c r="E4" s="16">
        <v>11298.63</v>
      </c>
      <c r="F4" s="10" t="str">
        <f t="shared" si="0"/>
        <v>REF-1003|11298.63</v>
      </c>
    </row>
    <row r="5" spans="1:6">
      <c r="A5" s="8" t="s">
        <v>24</v>
      </c>
      <c r="B5" s="14">
        <v>46147</v>
      </c>
      <c r="C5" s="9" t="s">
        <v>25</v>
      </c>
      <c r="D5" s="9" t="s">
        <v>26</v>
      </c>
      <c r="E5" s="16">
        <v>-1676.9</v>
      </c>
      <c r="F5" s="10" t="str">
        <f t="shared" si="0"/>
        <v>REF-1004|-1676.9</v>
      </c>
    </row>
    <row r="6" spans="1:6">
      <c r="A6" s="8" t="s">
        <v>27</v>
      </c>
      <c r="B6" s="14">
        <v>46165</v>
      </c>
      <c r="C6" s="9" t="s">
        <v>28</v>
      </c>
      <c r="D6" s="9" t="s">
        <v>26</v>
      </c>
      <c r="E6" s="16">
        <v>-886.58</v>
      </c>
      <c r="F6" s="10" t="str">
        <f t="shared" si="0"/>
        <v>REF-1005|-886.58</v>
      </c>
    </row>
    <row r="7" spans="1:6">
      <c r="A7" s="8" t="s">
        <v>29</v>
      </c>
      <c r="B7" s="14">
        <v>46163</v>
      </c>
      <c r="C7" s="9" t="s">
        <v>30</v>
      </c>
      <c r="D7" s="9" t="s">
        <v>23</v>
      </c>
      <c r="E7" s="16">
        <v>-2630.77</v>
      </c>
      <c r="F7" s="10" t="str">
        <f t="shared" si="0"/>
        <v>REF-1006|-2630.77</v>
      </c>
    </row>
    <row r="8" spans="1:6">
      <c r="A8" s="8" t="s">
        <v>31</v>
      </c>
      <c r="B8" s="14">
        <v>46159</v>
      </c>
      <c r="C8" s="9" t="s">
        <v>32</v>
      </c>
      <c r="D8" s="9" t="s">
        <v>33</v>
      </c>
      <c r="E8" s="16">
        <v>3570.56</v>
      </c>
      <c r="F8" s="10" t="str">
        <f t="shared" si="0"/>
        <v>REF-1007|3570.56</v>
      </c>
    </row>
    <row r="9" spans="1:6">
      <c r="A9" s="8" t="s">
        <v>34</v>
      </c>
      <c r="B9" s="14">
        <v>46153</v>
      </c>
      <c r="C9" s="9" t="s">
        <v>35</v>
      </c>
      <c r="D9" s="9" t="s">
        <v>26</v>
      </c>
      <c r="E9" s="16">
        <v>-3319.95</v>
      </c>
      <c r="F9" s="10" t="str">
        <f t="shared" si="0"/>
        <v>REF-1008|-3319.95</v>
      </c>
    </row>
    <row r="10" spans="1:6">
      <c r="A10" s="8" t="s">
        <v>36</v>
      </c>
      <c r="B10" s="14">
        <v>46149</v>
      </c>
      <c r="C10" s="9" t="s">
        <v>37</v>
      </c>
      <c r="D10" s="9" t="s">
        <v>18</v>
      </c>
      <c r="E10" s="16">
        <v>4438.93</v>
      </c>
      <c r="F10" s="10" t="str">
        <f t="shared" si="0"/>
        <v>REF-1009|4438.93</v>
      </c>
    </row>
    <row r="11" spans="1:6">
      <c r="A11" s="8" t="s">
        <v>38</v>
      </c>
      <c r="B11" s="14">
        <v>46157</v>
      </c>
      <c r="C11" s="9" t="s">
        <v>39</v>
      </c>
      <c r="D11" s="9" t="s">
        <v>26</v>
      </c>
      <c r="E11" s="16">
        <v>-666.72</v>
      </c>
      <c r="F11" s="10" t="str">
        <f t="shared" si="0"/>
        <v>REF-1010|-666.72</v>
      </c>
    </row>
    <row r="12" spans="1:6">
      <c r="A12" s="8" t="s">
        <v>40</v>
      </c>
      <c r="B12" s="14">
        <v>46159</v>
      </c>
      <c r="C12" s="9" t="s">
        <v>41</v>
      </c>
      <c r="D12" s="9" t="s">
        <v>33</v>
      </c>
      <c r="E12" s="16">
        <v>12165</v>
      </c>
      <c r="F12" s="10" t="str">
        <f t="shared" si="0"/>
        <v>REF-1011|12165</v>
      </c>
    </row>
    <row r="13" spans="1:6">
      <c r="A13" s="8" t="s">
        <v>42</v>
      </c>
      <c r="B13" s="14">
        <v>46167</v>
      </c>
      <c r="C13" s="9" t="s">
        <v>43</v>
      </c>
      <c r="D13" s="9" t="s">
        <v>26</v>
      </c>
      <c r="E13" s="16">
        <v>-7280.51</v>
      </c>
      <c r="F13" s="10" t="str">
        <f t="shared" si="0"/>
        <v>REF-1012|-7280.51</v>
      </c>
    </row>
    <row r="14" spans="1:6">
      <c r="A14" s="8" t="s">
        <v>44</v>
      </c>
      <c r="B14" s="14">
        <v>46147</v>
      </c>
      <c r="C14" s="9" t="s">
        <v>45</v>
      </c>
      <c r="D14" s="9" t="s">
        <v>26</v>
      </c>
      <c r="E14" s="16">
        <v>-5234.09</v>
      </c>
      <c r="F14" s="10" t="str">
        <f t="shared" si="0"/>
        <v>REF-1013|-5234.09</v>
      </c>
    </row>
    <row r="15" spans="1:6">
      <c r="A15" s="8" t="s">
        <v>46</v>
      </c>
      <c r="B15" s="14">
        <v>46157</v>
      </c>
      <c r="C15" s="9" t="s">
        <v>47</v>
      </c>
      <c r="D15" s="9" t="s">
        <v>18</v>
      </c>
      <c r="E15" s="16">
        <v>5346.42</v>
      </c>
      <c r="F15" s="10" t="str">
        <f t="shared" si="0"/>
        <v>REF-1014|5346.42</v>
      </c>
    </row>
    <row r="16" spans="1:6">
      <c r="A16" s="8" t="s">
        <v>48</v>
      </c>
      <c r="B16" s="14">
        <v>46148</v>
      </c>
      <c r="C16" s="9" t="s">
        <v>49</v>
      </c>
      <c r="D16" s="9" t="s">
        <v>26</v>
      </c>
      <c r="E16" s="16">
        <v>-3432.75</v>
      </c>
      <c r="F16" s="10" t="str">
        <f t="shared" si="0"/>
        <v>REF-1015|-3432.75</v>
      </c>
    </row>
    <row r="17" spans="1:6">
      <c r="A17" s="8" t="s">
        <v>50</v>
      </c>
      <c r="B17" s="14">
        <v>46158</v>
      </c>
      <c r="C17" s="9" t="s">
        <v>51</v>
      </c>
      <c r="D17" s="9" t="s">
        <v>18</v>
      </c>
      <c r="E17" s="16">
        <v>-5256.88</v>
      </c>
      <c r="F17" s="10" t="str">
        <f t="shared" si="0"/>
        <v>REF-1016|-5256.88</v>
      </c>
    </row>
    <row r="18" spans="1:6">
      <c r="A18" s="8" t="s">
        <v>52</v>
      </c>
      <c r="B18" s="14">
        <v>46154</v>
      </c>
      <c r="C18" s="9" t="s">
        <v>53</v>
      </c>
      <c r="D18" s="9" t="s">
        <v>18</v>
      </c>
      <c r="E18" s="16">
        <v>4364.6400000000003</v>
      </c>
      <c r="F18" s="10" t="str">
        <f t="shared" si="0"/>
        <v>REF-1017|4364.64</v>
      </c>
    </row>
    <row r="19" spans="1:6">
      <c r="A19" s="8" t="s">
        <v>54</v>
      </c>
      <c r="B19" s="14">
        <v>46155</v>
      </c>
      <c r="C19" s="9" t="s">
        <v>55</v>
      </c>
      <c r="D19" s="9" t="s">
        <v>23</v>
      </c>
      <c r="E19" s="16">
        <v>10160.620000000001</v>
      </c>
      <c r="F19" s="10" t="str">
        <f t="shared" si="0"/>
        <v>REF-1018|10160.62</v>
      </c>
    </row>
    <row r="20" spans="1:6">
      <c r="A20" s="8" t="s">
        <v>56</v>
      </c>
      <c r="B20" s="14">
        <v>46155</v>
      </c>
      <c r="C20" s="9" t="s">
        <v>57</v>
      </c>
      <c r="D20" s="9" t="s">
        <v>58</v>
      </c>
      <c r="E20" s="16">
        <v>-6907.81</v>
      </c>
      <c r="F20" s="10" t="str">
        <f t="shared" si="0"/>
        <v>REF-1019|-6907.81</v>
      </c>
    </row>
    <row r="21" spans="1:6">
      <c r="A21" s="8" t="s">
        <v>59</v>
      </c>
      <c r="B21" s="14">
        <v>46151</v>
      </c>
      <c r="C21" s="9" t="s">
        <v>60</v>
      </c>
      <c r="D21" s="9" t="s">
        <v>26</v>
      </c>
      <c r="E21" s="16">
        <v>-1806.1</v>
      </c>
      <c r="F21" s="10" t="str">
        <f t="shared" si="0"/>
        <v>REF-1020|-1806.1</v>
      </c>
    </row>
    <row r="22" spans="1:6">
      <c r="A22" s="8" t="s">
        <v>61</v>
      </c>
      <c r="B22" s="14">
        <v>46169</v>
      </c>
      <c r="C22" s="9" t="s">
        <v>62</v>
      </c>
      <c r="D22" s="9" t="s">
        <v>58</v>
      </c>
      <c r="E22" s="16">
        <v>-7541.84</v>
      </c>
      <c r="F22" s="10" t="str">
        <f t="shared" si="0"/>
        <v>REF-1021|-7541.84</v>
      </c>
    </row>
    <row r="23" spans="1:6">
      <c r="A23" s="8" t="s">
        <v>63</v>
      </c>
      <c r="B23" s="14">
        <v>46150</v>
      </c>
      <c r="C23" s="9" t="s">
        <v>64</v>
      </c>
      <c r="D23" s="9" t="s">
        <v>18</v>
      </c>
      <c r="E23" s="16">
        <v>14650.94</v>
      </c>
      <c r="F23" s="10" t="str">
        <f t="shared" si="0"/>
        <v>REF-1022|14650.94</v>
      </c>
    </row>
    <row r="24" spans="1:6">
      <c r="A24" s="8" t="s">
        <v>65</v>
      </c>
      <c r="B24" s="14">
        <v>46158</v>
      </c>
      <c r="C24" s="9" t="s">
        <v>66</v>
      </c>
      <c r="D24" s="9" t="s">
        <v>18</v>
      </c>
      <c r="E24" s="16">
        <v>-714.85</v>
      </c>
      <c r="F24" s="10" t="str">
        <f t="shared" si="0"/>
        <v>REF-1023|-714.85</v>
      </c>
    </row>
    <row r="25" spans="1:6">
      <c r="A25" s="8" t="s">
        <v>67</v>
      </c>
      <c r="B25" s="14">
        <v>46145</v>
      </c>
      <c r="C25" s="9" t="s">
        <v>68</v>
      </c>
      <c r="D25" s="9" t="s">
        <v>26</v>
      </c>
      <c r="E25" s="16">
        <v>-5113.5200000000004</v>
      </c>
      <c r="F25" s="10" t="str">
        <f t="shared" si="0"/>
        <v>REF-1024|-5113.52</v>
      </c>
    </row>
    <row r="26" spans="1:6">
      <c r="A26" s="8" t="s">
        <v>69</v>
      </c>
      <c r="B26" s="14">
        <v>46159</v>
      </c>
      <c r="C26" s="9" t="s">
        <v>70</v>
      </c>
      <c r="D26" s="9" t="s">
        <v>33</v>
      </c>
      <c r="E26" s="16">
        <v>-152.04</v>
      </c>
      <c r="F26" s="10" t="str">
        <f t="shared" si="0"/>
        <v>REF-1025|-152.04</v>
      </c>
    </row>
    <row r="27" spans="1:6">
      <c r="A27" s="8" t="s">
        <v>71</v>
      </c>
      <c r="B27" s="14">
        <v>46162</v>
      </c>
      <c r="C27" s="9" t="s">
        <v>72</v>
      </c>
      <c r="D27" s="9" t="s">
        <v>33</v>
      </c>
      <c r="E27" s="16">
        <v>-1280.19</v>
      </c>
      <c r="F27" s="10" t="str">
        <f t="shared" si="0"/>
        <v>REF-1026|-1280.19</v>
      </c>
    </row>
    <row r="28" spans="1:6">
      <c r="A28" s="8" t="s">
        <v>73</v>
      </c>
      <c r="B28" s="14">
        <v>46164</v>
      </c>
      <c r="C28" s="9" t="s">
        <v>74</v>
      </c>
      <c r="D28" s="9" t="s">
        <v>26</v>
      </c>
      <c r="E28" s="16">
        <v>6398.76</v>
      </c>
      <c r="F28" s="10" t="str">
        <f t="shared" si="0"/>
        <v>REF-1027|6398.76</v>
      </c>
    </row>
    <row r="29" spans="1:6">
      <c r="A29" s="8" t="s">
        <v>75</v>
      </c>
      <c r="B29" s="14">
        <v>46168</v>
      </c>
      <c r="C29" s="9" t="s">
        <v>76</v>
      </c>
      <c r="D29" s="9" t="s">
        <v>26</v>
      </c>
      <c r="E29" s="16">
        <v>7043.12</v>
      </c>
      <c r="F29" s="10" t="str">
        <f t="shared" si="0"/>
        <v>REF-1028|7043.12</v>
      </c>
    </row>
    <row r="30" spans="1:6">
      <c r="A30" s="8" t="s">
        <v>77</v>
      </c>
      <c r="B30" s="14">
        <v>46168</v>
      </c>
      <c r="C30" s="9" t="s">
        <v>78</v>
      </c>
      <c r="D30" s="9" t="s">
        <v>58</v>
      </c>
      <c r="E30" s="16">
        <v>-3525.06</v>
      </c>
      <c r="F30" s="10" t="str">
        <f t="shared" si="0"/>
        <v>REF-1029|-3525.06</v>
      </c>
    </row>
    <row r="31" spans="1:6">
      <c r="A31" s="8" t="s">
        <v>79</v>
      </c>
      <c r="B31" s="14">
        <v>46163</v>
      </c>
      <c r="C31" s="9" t="s">
        <v>80</v>
      </c>
      <c r="D31" s="9" t="s">
        <v>18</v>
      </c>
      <c r="E31" s="16">
        <v>10951.27</v>
      </c>
      <c r="F31" s="10" t="str">
        <f t="shared" si="0"/>
        <v>REF-1030|10951.27</v>
      </c>
    </row>
    <row r="32" spans="1:6">
      <c r="A32" s="8" t="s">
        <v>81</v>
      </c>
      <c r="B32" s="14">
        <v>46172</v>
      </c>
      <c r="C32" s="9" t="s">
        <v>82</v>
      </c>
      <c r="D32" s="9" t="s">
        <v>58</v>
      </c>
      <c r="E32" s="16">
        <v>8772.73</v>
      </c>
      <c r="F32" s="10" t="str">
        <f t="shared" si="0"/>
        <v>REF-1031|8772.73</v>
      </c>
    </row>
    <row r="33" spans="1:6">
      <c r="A33" s="8" t="s">
        <v>83</v>
      </c>
      <c r="B33" s="14">
        <v>46143</v>
      </c>
      <c r="C33" s="9" t="s">
        <v>84</v>
      </c>
      <c r="D33" s="9" t="s">
        <v>26</v>
      </c>
      <c r="E33" s="16">
        <v>8906.6299999999992</v>
      </c>
      <c r="F33" s="10" t="str">
        <f t="shared" si="0"/>
        <v>REF-1032|8906.63</v>
      </c>
    </row>
    <row r="34" spans="1:6">
      <c r="A34" s="8" t="s">
        <v>85</v>
      </c>
      <c r="B34" s="14">
        <v>46173</v>
      </c>
      <c r="C34" s="9" t="s">
        <v>86</v>
      </c>
      <c r="D34" s="9" t="s">
        <v>58</v>
      </c>
      <c r="E34" s="16">
        <v>4095.5</v>
      </c>
      <c r="F34" s="10" t="str">
        <f t="shared" ref="F34:F65" si="1">C34&amp;"|"&amp;ROUND(E34,2)</f>
        <v>REF-1033|4095.5</v>
      </c>
    </row>
    <row r="35" spans="1:6">
      <c r="A35" s="8" t="s">
        <v>87</v>
      </c>
      <c r="B35" s="14">
        <v>46169</v>
      </c>
      <c r="C35" s="9" t="s">
        <v>88</v>
      </c>
      <c r="D35" s="9" t="s">
        <v>26</v>
      </c>
      <c r="E35" s="16">
        <v>-1500.67</v>
      </c>
      <c r="F35" s="10" t="str">
        <f t="shared" si="1"/>
        <v>REF-1034|-1500.67</v>
      </c>
    </row>
    <row r="36" spans="1:6">
      <c r="A36" s="8" t="s">
        <v>89</v>
      </c>
      <c r="B36" s="14">
        <v>46172</v>
      </c>
      <c r="C36" s="9" t="s">
        <v>90</v>
      </c>
      <c r="D36" s="9" t="s">
        <v>58</v>
      </c>
      <c r="E36" s="16">
        <v>10942.58</v>
      </c>
      <c r="F36" s="10" t="str">
        <f t="shared" si="1"/>
        <v>REF-1035|10942.58</v>
      </c>
    </row>
    <row r="37" spans="1:6">
      <c r="A37" s="8" t="s">
        <v>91</v>
      </c>
      <c r="B37" s="14">
        <v>46147</v>
      </c>
      <c r="C37" s="9" t="s">
        <v>92</v>
      </c>
      <c r="D37" s="9" t="s">
        <v>18</v>
      </c>
      <c r="E37" s="16">
        <v>8422.25</v>
      </c>
      <c r="F37" s="10" t="str">
        <f t="shared" si="1"/>
        <v>REF-1036|8422.25</v>
      </c>
    </row>
    <row r="38" spans="1:6">
      <c r="A38" s="8" t="s">
        <v>93</v>
      </c>
      <c r="B38" s="14">
        <v>46172</v>
      </c>
      <c r="C38" s="9" t="s">
        <v>94</v>
      </c>
      <c r="D38" s="9" t="s">
        <v>23</v>
      </c>
      <c r="E38" s="16">
        <v>1884.79</v>
      </c>
      <c r="F38" s="10" t="str">
        <f t="shared" si="1"/>
        <v>REF-1037|1884.79</v>
      </c>
    </row>
    <row r="39" spans="1:6">
      <c r="A39" s="8" t="s">
        <v>95</v>
      </c>
      <c r="B39" s="14">
        <v>46147</v>
      </c>
      <c r="C39" s="9" t="s">
        <v>96</v>
      </c>
      <c r="D39" s="9" t="s">
        <v>58</v>
      </c>
      <c r="E39" s="16">
        <v>-5333.09</v>
      </c>
      <c r="F39" s="10" t="str">
        <f t="shared" si="1"/>
        <v>REF-1038|-5333.09</v>
      </c>
    </row>
    <row r="40" spans="1:6">
      <c r="A40" s="8" t="s">
        <v>97</v>
      </c>
      <c r="B40" s="14">
        <v>46152</v>
      </c>
      <c r="C40" s="9" t="s">
        <v>98</v>
      </c>
      <c r="D40" s="9" t="s">
        <v>26</v>
      </c>
      <c r="E40" s="16">
        <v>6928.25</v>
      </c>
      <c r="F40" s="10" t="str">
        <f t="shared" si="1"/>
        <v>REF-1039|6928.25</v>
      </c>
    </row>
    <row r="41" spans="1:6">
      <c r="A41" s="8" t="s">
        <v>99</v>
      </c>
      <c r="B41" s="14">
        <v>46150</v>
      </c>
      <c r="C41" s="9" t="s">
        <v>100</v>
      </c>
      <c r="D41" s="9" t="s">
        <v>18</v>
      </c>
      <c r="E41" s="16">
        <v>4083.94</v>
      </c>
      <c r="F41" s="10" t="str">
        <f t="shared" si="1"/>
        <v>REF-1040|4083.94</v>
      </c>
    </row>
    <row r="42" spans="1:6">
      <c r="A42" s="8" t="s">
        <v>101</v>
      </c>
      <c r="B42" s="14">
        <v>46143</v>
      </c>
      <c r="C42" s="9" t="s">
        <v>102</v>
      </c>
      <c r="D42" s="9" t="s">
        <v>18</v>
      </c>
      <c r="E42" s="16">
        <v>11391.97</v>
      </c>
      <c r="F42" s="10" t="str">
        <f t="shared" si="1"/>
        <v>REF-1041|11391.97</v>
      </c>
    </row>
    <row r="43" spans="1:6">
      <c r="A43" s="8" t="s">
        <v>103</v>
      </c>
      <c r="B43" s="14">
        <v>46157</v>
      </c>
      <c r="C43" s="9" t="s">
        <v>104</v>
      </c>
      <c r="D43" s="9" t="s">
        <v>26</v>
      </c>
      <c r="E43" s="16">
        <v>2859.71</v>
      </c>
      <c r="F43" s="10" t="str">
        <f t="shared" si="1"/>
        <v>REF-1042|2859.71</v>
      </c>
    </row>
    <row r="44" spans="1:6">
      <c r="A44" s="8" t="s">
        <v>105</v>
      </c>
      <c r="B44" s="14">
        <v>46162</v>
      </c>
      <c r="C44" s="9" t="s">
        <v>106</v>
      </c>
      <c r="D44" s="9" t="s">
        <v>18</v>
      </c>
      <c r="E44" s="16">
        <v>13284.31</v>
      </c>
      <c r="F44" s="10" t="str">
        <f t="shared" si="1"/>
        <v>REF-1043|13284.31</v>
      </c>
    </row>
    <row r="45" spans="1:6">
      <c r="A45" s="8" t="s">
        <v>107</v>
      </c>
      <c r="B45" s="14">
        <v>46154</v>
      </c>
      <c r="C45" s="9" t="s">
        <v>108</v>
      </c>
      <c r="D45" s="9" t="s">
        <v>18</v>
      </c>
      <c r="E45" s="16">
        <v>8108.67</v>
      </c>
      <c r="F45" s="10" t="str">
        <f t="shared" si="1"/>
        <v>REF-1044|8108.67</v>
      </c>
    </row>
    <row r="46" spans="1:6">
      <c r="A46" s="8" t="s">
        <v>109</v>
      </c>
      <c r="B46" s="14">
        <v>46168</v>
      </c>
      <c r="C46" s="9" t="s">
        <v>110</v>
      </c>
      <c r="D46" s="9" t="s">
        <v>18</v>
      </c>
      <c r="E46" s="16">
        <v>-7537.68</v>
      </c>
      <c r="F46" s="10" t="str">
        <f t="shared" si="1"/>
        <v>REF-1045|-7537.68</v>
      </c>
    </row>
    <row r="47" spans="1:6">
      <c r="A47" s="8" t="s">
        <v>111</v>
      </c>
      <c r="B47" s="14">
        <v>46156</v>
      </c>
      <c r="C47" s="9" t="s">
        <v>112</v>
      </c>
      <c r="D47" s="9" t="s">
        <v>33</v>
      </c>
      <c r="E47" s="16">
        <v>12598.13</v>
      </c>
      <c r="F47" s="10" t="str">
        <f t="shared" si="1"/>
        <v>REF-1046|12598.13</v>
      </c>
    </row>
    <row r="48" spans="1:6">
      <c r="A48" s="8" t="s">
        <v>113</v>
      </c>
      <c r="B48" s="14">
        <v>46146</v>
      </c>
      <c r="C48" s="9" t="s">
        <v>114</v>
      </c>
      <c r="D48" s="9" t="s">
        <v>26</v>
      </c>
      <c r="E48" s="16">
        <v>12072.77</v>
      </c>
      <c r="F48" s="10" t="str">
        <f t="shared" si="1"/>
        <v>REF-1047|12072.77</v>
      </c>
    </row>
    <row r="49" spans="1:6">
      <c r="A49" s="8" t="s">
        <v>115</v>
      </c>
      <c r="B49" s="14">
        <v>46146</v>
      </c>
      <c r="C49" s="9" t="s">
        <v>116</v>
      </c>
      <c r="D49" s="9" t="s">
        <v>58</v>
      </c>
      <c r="E49" s="16">
        <v>7471.56</v>
      </c>
      <c r="F49" s="10" t="str">
        <f t="shared" si="1"/>
        <v>REF-1048|7471.56</v>
      </c>
    </row>
    <row r="50" spans="1:6">
      <c r="A50" s="8" t="s">
        <v>117</v>
      </c>
      <c r="B50" s="14">
        <v>46150</v>
      </c>
      <c r="C50" s="9" t="s">
        <v>118</v>
      </c>
      <c r="D50" s="9" t="s">
        <v>58</v>
      </c>
      <c r="E50" s="16">
        <v>3517.48</v>
      </c>
      <c r="F50" s="10" t="str">
        <f t="shared" si="1"/>
        <v>REF-1049|3517.48</v>
      </c>
    </row>
    <row r="51" spans="1:6">
      <c r="A51" s="8" t="s">
        <v>119</v>
      </c>
      <c r="B51" s="14">
        <v>46161</v>
      </c>
      <c r="C51" s="9" t="s">
        <v>120</v>
      </c>
      <c r="D51" s="9" t="s">
        <v>18</v>
      </c>
      <c r="E51" s="16">
        <v>7551.65</v>
      </c>
      <c r="F51" s="10" t="str">
        <f t="shared" si="1"/>
        <v>REF-1050|7551.65</v>
      </c>
    </row>
    <row r="52" spans="1:6">
      <c r="A52" s="8" t="s">
        <v>121</v>
      </c>
      <c r="B52" s="14">
        <v>46147</v>
      </c>
      <c r="C52" s="9" t="s">
        <v>122</v>
      </c>
      <c r="D52" s="9" t="s">
        <v>23</v>
      </c>
      <c r="E52" s="16">
        <v>371.38</v>
      </c>
      <c r="F52" s="10" t="str">
        <f t="shared" si="1"/>
        <v>REF-1051|371.38</v>
      </c>
    </row>
    <row r="53" spans="1:6">
      <c r="A53" s="8" t="s">
        <v>123</v>
      </c>
      <c r="B53" s="14">
        <v>46169</v>
      </c>
      <c r="C53" s="9" t="s">
        <v>124</v>
      </c>
      <c r="D53" s="9" t="s">
        <v>33</v>
      </c>
      <c r="E53" s="16">
        <v>8932.0499999999993</v>
      </c>
      <c r="F53" s="10" t="str">
        <f t="shared" si="1"/>
        <v>REF-1052|8932.05</v>
      </c>
    </row>
    <row r="54" spans="1:6">
      <c r="A54" s="8" t="s">
        <v>125</v>
      </c>
      <c r="B54" s="14">
        <v>46149</v>
      </c>
      <c r="C54" s="9" t="s">
        <v>126</v>
      </c>
      <c r="D54" s="9" t="s">
        <v>26</v>
      </c>
      <c r="E54" s="16">
        <v>-6942.54</v>
      </c>
      <c r="F54" s="10" t="str">
        <f t="shared" si="1"/>
        <v>REF-1053|-6942.54</v>
      </c>
    </row>
    <row r="55" spans="1:6">
      <c r="A55" s="8" t="s">
        <v>127</v>
      </c>
      <c r="B55" s="14">
        <v>46145</v>
      </c>
      <c r="C55" s="9" t="s">
        <v>128</v>
      </c>
      <c r="D55" s="9" t="s">
        <v>33</v>
      </c>
      <c r="E55" s="16">
        <v>5494.38</v>
      </c>
      <c r="F55" s="10" t="str">
        <f t="shared" si="1"/>
        <v>REF-1054|5494.38</v>
      </c>
    </row>
    <row r="56" spans="1:6">
      <c r="A56" s="8" t="s">
        <v>129</v>
      </c>
      <c r="B56" s="14">
        <v>46172</v>
      </c>
      <c r="C56" s="9" t="s">
        <v>130</v>
      </c>
      <c r="D56" s="9" t="s">
        <v>33</v>
      </c>
      <c r="E56" s="16">
        <v>13099.23</v>
      </c>
      <c r="F56" s="10" t="str">
        <f t="shared" si="1"/>
        <v>REF-1055|13099.23</v>
      </c>
    </row>
    <row r="57" spans="1:6">
      <c r="A57" s="8" t="s">
        <v>131</v>
      </c>
      <c r="B57" s="14">
        <v>46168</v>
      </c>
      <c r="C57" s="9" t="s">
        <v>132</v>
      </c>
      <c r="D57" s="9" t="s">
        <v>58</v>
      </c>
      <c r="E57" s="16">
        <v>1896.55</v>
      </c>
      <c r="F57" s="10" t="str">
        <f t="shared" si="1"/>
        <v>REF-1056|1896.55</v>
      </c>
    </row>
    <row r="58" spans="1:6">
      <c r="A58" s="8" t="s">
        <v>133</v>
      </c>
      <c r="B58" s="14">
        <v>46167</v>
      </c>
      <c r="C58" s="9" t="s">
        <v>134</v>
      </c>
      <c r="D58" s="9" t="s">
        <v>58</v>
      </c>
      <c r="E58" s="16">
        <v>9426.09</v>
      </c>
      <c r="F58" s="10" t="str">
        <f t="shared" si="1"/>
        <v>REF-1057|9426.09</v>
      </c>
    </row>
    <row r="59" spans="1:6">
      <c r="A59" s="8" t="s">
        <v>135</v>
      </c>
      <c r="B59" s="14">
        <v>46166</v>
      </c>
      <c r="C59" s="9" t="s">
        <v>136</v>
      </c>
      <c r="D59" s="9" t="s">
        <v>33</v>
      </c>
      <c r="E59" s="16">
        <v>1707.8</v>
      </c>
      <c r="F59" s="10" t="str">
        <f t="shared" si="1"/>
        <v>REF-1058|1707.8</v>
      </c>
    </row>
    <row r="60" spans="1:6">
      <c r="A60" s="8" t="s">
        <v>137</v>
      </c>
      <c r="B60" s="14">
        <v>46160</v>
      </c>
      <c r="C60" s="9" t="s">
        <v>138</v>
      </c>
      <c r="D60" s="9" t="s">
        <v>26</v>
      </c>
      <c r="E60" s="16">
        <v>-5130.04</v>
      </c>
      <c r="F60" s="10" t="str">
        <f t="shared" si="1"/>
        <v>REF-1059|-5130.04</v>
      </c>
    </row>
    <row r="61" spans="1:6">
      <c r="A61" s="8" t="s">
        <v>139</v>
      </c>
      <c r="B61" s="14">
        <v>46144</v>
      </c>
      <c r="C61" s="9" t="s">
        <v>140</v>
      </c>
      <c r="D61" s="9" t="s">
        <v>33</v>
      </c>
      <c r="E61" s="16">
        <v>-4620.74</v>
      </c>
      <c r="F61" s="10" t="str">
        <f t="shared" si="1"/>
        <v>REF-1060|-4620.74</v>
      </c>
    </row>
    <row r="62" spans="1:6">
      <c r="A62" s="8" t="s">
        <v>141</v>
      </c>
      <c r="B62" s="14">
        <v>46164</v>
      </c>
      <c r="C62" s="9" t="s">
        <v>142</v>
      </c>
      <c r="D62" s="9" t="s">
        <v>26</v>
      </c>
      <c r="E62" s="16">
        <v>10456.379999999999</v>
      </c>
      <c r="F62" s="10" t="str">
        <f t="shared" si="1"/>
        <v>REF-1061|10456.38</v>
      </c>
    </row>
    <row r="63" spans="1:6">
      <c r="A63" s="8" t="s">
        <v>143</v>
      </c>
      <c r="B63" s="14">
        <v>46151</v>
      </c>
      <c r="C63" s="9" t="s">
        <v>144</v>
      </c>
      <c r="D63" s="9" t="s">
        <v>18</v>
      </c>
      <c r="E63" s="16">
        <v>11600.52</v>
      </c>
      <c r="F63" s="10" t="str">
        <f t="shared" si="1"/>
        <v>REF-1062|11600.52</v>
      </c>
    </row>
    <row r="64" spans="1:6">
      <c r="A64" s="8" t="s">
        <v>145</v>
      </c>
      <c r="B64" s="14">
        <v>46147</v>
      </c>
      <c r="C64" s="9" t="s">
        <v>146</v>
      </c>
      <c r="D64" s="9" t="s">
        <v>18</v>
      </c>
      <c r="E64" s="16">
        <v>2427.92</v>
      </c>
      <c r="F64" s="10" t="str">
        <f t="shared" si="1"/>
        <v>REF-1063|2427.92</v>
      </c>
    </row>
    <row r="65" spans="1:6">
      <c r="A65" s="8" t="s">
        <v>147</v>
      </c>
      <c r="B65" s="14">
        <v>46171</v>
      </c>
      <c r="C65" s="9" t="s">
        <v>148</v>
      </c>
      <c r="D65" s="9" t="s">
        <v>23</v>
      </c>
      <c r="E65" s="16">
        <v>5381.7</v>
      </c>
      <c r="F65" s="10" t="str">
        <f t="shared" si="1"/>
        <v>REF-1064|5381.7</v>
      </c>
    </row>
    <row r="66" spans="1:6">
      <c r="A66" s="8" t="s">
        <v>149</v>
      </c>
      <c r="B66" s="14">
        <v>46159</v>
      </c>
      <c r="C66" s="9" t="s">
        <v>150</v>
      </c>
      <c r="D66" s="9" t="s">
        <v>18</v>
      </c>
      <c r="E66" s="16">
        <v>11997</v>
      </c>
      <c r="F66" s="10" t="str">
        <f t="shared" ref="F66:F97" si="2">C66&amp;"|"&amp;ROUND(E66,2)</f>
        <v>REF-1065|11997</v>
      </c>
    </row>
    <row r="67" spans="1:6">
      <c r="A67" s="8" t="s">
        <v>151</v>
      </c>
      <c r="B67" s="14">
        <v>46161</v>
      </c>
      <c r="C67" s="9" t="s">
        <v>152</v>
      </c>
      <c r="D67" s="9" t="s">
        <v>58</v>
      </c>
      <c r="E67" s="16">
        <v>4368.51</v>
      </c>
      <c r="F67" s="10" t="str">
        <f t="shared" si="2"/>
        <v>REF-1066|4368.51</v>
      </c>
    </row>
    <row r="68" spans="1:6">
      <c r="A68" s="8" t="s">
        <v>153</v>
      </c>
      <c r="B68" s="14">
        <v>46150</v>
      </c>
      <c r="C68" s="9" t="s">
        <v>154</v>
      </c>
      <c r="D68" s="9" t="s">
        <v>26</v>
      </c>
      <c r="E68" s="16">
        <v>10577.76</v>
      </c>
      <c r="F68" s="10" t="str">
        <f t="shared" si="2"/>
        <v>REF-1067|10577.76</v>
      </c>
    </row>
    <row r="69" spans="1:6">
      <c r="A69" s="8" t="s">
        <v>155</v>
      </c>
      <c r="B69" s="14">
        <v>46151</v>
      </c>
      <c r="C69" s="9" t="s">
        <v>156</v>
      </c>
      <c r="D69" s="9" t="s">
        <v>58</v>
      </c>
      <c r="E69" s="16">
        <v>-6384.02</v>
      </c>
      <c r="F69" s="10" t="str">
        <f t="shared" si="2"/>
        <v>REF-1068|-6384.02</v>
      </c>
    </row>
    <row r="70" spans="1:6">
      <c r="A70" s="8" t="s">
        <v>157</v>
      </c>
      <c r="B70" s="14">
        <v>46157</v>
      </c>
      <c r="C70" s="9" t="s">
        <v>158</v>
      </c>
      <c r="D70" s="9" t="s">
        <v>26</v>
      </c>
      <c r="E70" s="16">
        <v>-5876.97</v>
      </c>
      <c r="F70" s="10" t="str">
        <f t="shared" si="2"/>
        <v>REF-1069|-5876.97</v>
      </c>
    </row>
    <row r="71" spans="1:6">
      <c r="A71" s="8" t="s">
        <v>159</v>
      </c>
      <c r="B71" s="14">
        <v>46168</v>
      </c>
      <c r="C71" s="9" t="s">
        <v>160</v>
      </c>
      <c r="D71" s="9" t="s">
        <v>58</v>
      </c>
      <c r="E71" s="16">
        <v>8118.2</v>
      </c>
      <c r="F71" s="10" t="str">
        <f t="shared" si="2"/>
        <v>REF-1070|8118.2</v>
      </c>
    </row>
    <row r="72" spans="1:6">
      <c r="A72" s="8" t="s">
        <v>161</v>
      </c>
      <c r="B72" s="14">
        <v>46165</v>
      </c>
      <c r="C72" s="9" t="s">
        <v>162</v>
      </c>
      <c r="D72" s="9" t="s">
        <v>26</v>
      </c>
      <c r="E72" s="16">
        <v>6689.41</v>
      </c>
      <c r="F72" s="10" t="str">
        <f t="shared" si="2"/>
        <v>REF-1071|6689.41</v>
      </c>
    </row>
    <row r="73" spans="1:6">
      <c r="A73" s="8" t="s">
        <v>163</v>
      </c>
      <c r="B73" s="14">
        <v>46145</v>
      </c>
      <c r="C73" s="9" t="s">
        <v>164</v>
      </c>
      <c r="D73" s="9" t="s">
        <v>33</v>
      </c>
      <c r="E73" s="16">
        <v>-3832.17</v>
      </c>
      <c r="F73" s="10" t="str">
        <f t="shared" si="2"/>
        <v>REF-1072|-3832.17</v>
      </c>
    </row>
    <row r="74" spans="1:6">
      <c r="A74" s="8" t="s">
        <v>165</v>
      </c>
      <c r="B74" s="14">
        <v>46156</v>
      </c>
      <c r="C74" s="9" t="s">
        <v>166</v>
      </c>
      <c r="D74" s="9" t="s">
        <v>33</v>
      </c>
      <c r="E74" s="16">
        <v>13777.43</v>
      </c>
      <c r="F74" s="10" t="str">
        <f t="shared" si="2"/>
        <v>REF-1073|13777.43</v>
      </c>
    </row>
    <row r="75" spans="1:6">
      <c r="A75" s="8" t="s">
        <v>167</v>
      </c>
      <c r="B75" s="14">
        <v>46153</v>
      </c>
      <c r="C75" s="9" t="s">
        <v>168</v>
      </c>
      <c r="D75" s="9" t="s">
        <v>26</v>
      </c>
      <c r="E75" s="16">
        <v>-4753.34</v>
      </c>
      <c r="F75" s="10" t="str">
        <f t="shared" si="2"/>
        <v>REF-1074|-4753.34</v>
      </c>
    </row>
    <row r="76" spans="1:6">
      <c r="A76" s="8" t="s">
        <v>169</v>
      </c>
      <c r="B76" s="14">
        <v>46152</v>
      </c>
      <c r="C76" s="9" t="s">
        <v>170</v>
      </c>
      <c r="D76" s="9" t="s">
        <v>26</v>
      </c>
      <c r="E76" s="16">
        <v>-6344.22</v>
      </c>
      <c r="F76" s="10" t="str">
        <f t="shared" si="2"/>
        <v>REF-1075|-6344.22</v>
      </c>
    </row>
    <row r="77" spans="1:6">
      <c r="A77" s="8" t="s">
        <v>171</v>
      </c>
      <c r="B77" s="14">
        <v>46167</v>
      </c>
      <c r="C77" s="9" t="s">
        <v>172</v>
      </c>
      <c r="D77" s="9" t="s">
        <v>18</v>
      </c>
      <c r="E77" s="16">
        <v>8975.92</v>
      </c>
      <c r="F77" s="10" t="str">
        <f t="shared" si="2"/>
        <v>REF-1076|8975.92</v>
      </c>
    </row>
    <row r="78" spans="1:6">
      <c r="A78" s="8" t="s">
        <v>173</v>
      </c>
      <c r="B78" s="14">
        <v>46159</v>
      </c>
      <c r="C78" s="9" t="s">
        <v>174</v>
      </c>
      <c r="D78" s="9" t="s">
        <v>18</v>
      </c>
      <c r="E78" s="16">
        <v>-3002.03</v>
      </c>
      <c r="F78" s="10" t="str">
        <f t="shared" si="2"/>
        <v>REF-1077|-3002.03</v>
      </c>
    </row>
    <row r="79" spans="1:6">
      <c r="A79" s="8" t="s">
        <v>175</v>
      </c>
      <c r="B79" s="14">
        <v>46151</v>
      </c>
      <c r="C79" s="9" t="s">
        <v>176</v>
      </c>
      <c r="D79" s="9" t="s">
        <v>23</v>
      </c>
      <c r="E79" s="16">
        <v>10839.3</v>
      </c>
      <c r="F79" s="10" t="str">
        <f t="shared" si="2"/>
        <v>REF-1078|10839.3</v>
      </c>
    </row>
    <row r="80" spans="1:6">
      <c r="A80" s="8" t="s">
        <v>177</v>
      </c>
      <c r="B80" s="14">
        <v>46150</v>
      </c>
      <c r="C80" s="9" t="s">
        <v>178</v>
      </c>
      <c r="D80" s="9" t="s">
        <v>23</v>
      </c>
      <c r="E80" s="16">
        <v>2347.9</v>
      </c>
      <c r="F80" s="10" t="str">
        <f t="shared" si="2"/>
        <v>REF-1079|2347.9</v>
      </c>
    </row>
    <row r="81" spans="1:6">
      <c r="A81" s="8" t="s">
        <v>179</v>
      </c>
      <c r="B81" s="14">
        <v>46157</v>
      </c>
      <c r="C81" s="9" t="s">
        <v>180</v>
      </c>
      <c r="D81" s="9" t="s">
        <v>18</v>
      </c>
      <c r="E81" s="16">
        <v>2157.2600000000002</v>
      </c>
      <c r="F81" s="10" t="str">
        <f t="shared" si="2"/>
        <v>REF-1080|2157.26</v>
      </c>
    </row>
    <row r="82" spans="1:6">
      <c r="A82" s="8" t="s">
        <v>181</v>
      </c>
      <c r="B82" s="14">
        <v>46154</v>
      </c>
      <c r="C82" s="9" t="s">
        <v>182</v>
      </c>
      <c r="D82" s="9" t="s">
        <v>23</v>
      </c>
      <c r="E82" s="16">
        <v>4033.71</v>
      </c>
      <c r="F82" s="10" t="str">
        <f t="shared" si="2"/>
        <v>REF-1081|4033.71</v>
      </c>
    </row>
    <row r="83" spans="1:6">
      <c r="A83" s="8" t="s">
        <v>183</v>
      </c>
      <c r="B83" s="14">
        <v>46149</v>
      </c>
      <c r="C83" s="9" t="s">
        <v>184</v>
      </c>
      <c r="D83" s="9" t="s">
        <v>26</v>
      </c>
      <c r="E83" s="16">
        <v>1857.34</v>
      </c>
      <c r="F83" s="10" t="str">
        <f t="shared" si="2"/>
        <v>REF-1082|1857.34</v>
      </c>
    </row>
    <row r="84" spans="1:6">
      <c r="A84" s="8" t="s">
        <v>185</v>
      </c>
      <c r="B84" s="14">
        <v>46145</v>
      </c>
      <c r="C84" s="9" t="s">
        <v>186</v>
      </c>
      <c r="D84" s="9" t="s">
        <v>26</v>
      </c>
      <c r="E84" s="16">
        <v>11212.67</v>
      </c>
      <c r="F84" s="10" t="str">
        <f t="shared" si="2"/>
        <v>REF-1083|11212.67</v>
      </c>
    </row>
    <row r="85" spans="1:6">
      <c r="A85" s="8" t="s">
        <v>187</v>
      </c>
      <c r="B85" s="14">
        <v>46160</v>
      </c>
      <c r="C85" s="9" t="s">
        <v>188</v>
      </c>
      <c r="D85" s="9" t="s">
        <v>33</v>
      </c>
      <c r="E85" s="16">
        <v>-6268.24</v>
      </c>
      <c r="F85" s="10" t="str">
        <f t="shared" si="2"/>
        <v>REF-1084|-6268.24</v>
      </c>
    </row>
    <row r="86" spans="1:6">
      <c r="A86" s="8" t="s">
        <v>189</v>
      </c>
      <c r="B86" s="14">
        <v>46147</v>
      </c>
      <c r="C86" s="9" t="s">
        <v>190</v>
      </c>
      <c r="D86" s="9" t="s">
        <v>33</v>
      </c>
      <c r="E86" s="16">
        <v>14740.4</v>
      </c>
      <c r="F86" s="10" t="str">
        <f t="shared" si="2"/>
        <v>REF-1085|14740.4</v>
      </c>
    </row>
    <row r="87" spans="1:6">
      <c r="A87" s="8" t="s">
        <v>191</v>
      </c>
      <c r="B87" s="14">
        <v>46172</v>
      </c>
      <c r="C87" s="9" t="s">
        <v>192</v>
      </c>
      <c r="D87" s="9" t="s">
        <v>23</v>
      </c>
      <c r="E87" s="16">
        <v>-7699.16</v>
      </c>
      <c r="F87" s="10" t="str">
        <f t="shared" si="2"/>
        <v>REF-1086|-7699.16</v>
      </c>
    </row>
    <row r="88" spans="1:6">
      <c r="A88" s="8" t="s">
        <v>193</v>
      </c>
      <c r="B88" s="14">
        <v>46165</v>
      </c>
      <c r="C88" s="9" t="s">
        <v>194</v>
      </c>
      <c r="D88" s="9" t="s">
        <v>26</v>
      </c>
      <c r="E88" s="16">
        <v>-4665.6499999999996</v>
      </c>
      <c r="F88" s="10" t="str">
        <f t="shared" si="2"/>
        <v>REF-1087|-4665.65</v>
      </c>
    </row>
    <row r="89" spans="1:6">
      <c r="A89" s="8" t="s">
        <v>195</v>
      </c>
      <c r="B89" s="14">
        <v>46165</v>
      </c>
      <c r="C89" s="9" t="s">
        <v>196</v>
      </c>
      <c r="D89" s="9" t="s">
        <v>18</v>
      </c>
      <c r="E89" s="16">
        <v>6491.94</v>
      </c>
      <c r="F89" s="10" t="str">
        <f t="shared" si="2"/>
        <v>REF-1088|6491.94</v>
      </c>
    </row>
    <row r="90" spans="1:6">
      <c r="A90" s="8" t="s">
        <v>197</v>
      </c>
      <c r="B90" s="14">
        <v>46155</v>
      </c>
      <c r="C90" s="9" t="s">
        <v>198</v>
      </c>
      <c r="D90" s="9" t="s">
        <v>18</v>
      </c>
      <c r="E90" s="16">
        <v>1163.78</v>
      </c>
      <c r="F90" s="10" t="str">
        <f t="shared" si="2"/>
        <v>REF-1089|1163.78</v>
      </c>
    </row>
    <row r="91" spans="1:6">
      <c r="A91" s="8" t="s">
        <v>199</v>
      </c>
      <c r="B91" s="14">
        <v>46169</v>
      </c>
      <c r="C91" s="9" t="s">
        <v>200</v>
      </c>
      <c r="D91" s="9" t="s">
        <v>26</v>
      </c>
      <c r="E91" s="16">
        <v>650.74</v>
      </c>
      <c r="F91" s="10" t="str">
        <f t="shared" si="2"/>
        <v>REF-1090|650.74</v>
      </c>
    </row>
    <row r="92" spans="1:6">
      <c r="A92" s="8" t="s">
        <v>201</v>
      </c>
      <c r="B92" s="14">
        <v>46153</v>
      </c>
      <c r="C92" s="9" t="s">
        <v>202</v>
      </c>
      <c r="D92" s="9" t="s">
        <v>33</v>
      </c>
      <c r="E92" s="16">
        <v>266.95</v>
      </c>
      <c r="F92" s="10" t="str">
        <f t="shared" si="2"/>
        <v>REF-1091|266.95</v>
      </c>
    </row>
    <row r="93" spans="1:6">
      <c r="A93" s="8" t="s">
        <v>203</v>
      </c>
      <c r="B93" s="14">
        <v>46159</v>
      </c>
      <c r="C93" s="9" t="s">
        <v>204</v>
      </c>
      <c r="D93" s="9" t="s">
        <v>58</v>
      </c>
      <c r="E93" s="16">
        <v>7536</v>
      </c>
      <c r="F93" s="10" t="str">
        <f t="shared" si="2"/>
        <v>REF-1092|7536</v>
      </c>
    </row>
    <row r="94" spans="1:6">
      <c r="A94" s="8" t="s">
        <v>205</v>
      </c>
      <c r="B94" s="14">
        <v>46145</v>
      </c>
      <c r="C94" s="9" t="s">
        <v>206</v>
      </c>
      <c r="D94" s="9" t="s">
        <v>18</v>
      </c>
      <c r="E94" s="16">
        <v>13124.54</v>
      </c>
      <c r="F94" s="10" t="str">
        <f t="shared" si="2"/>
        <v>REF-1093|13124.54</v>
      </c>
    </row>
    <row r="95" spans="1:6">
      <c r="A95" s="8" t="s">
        <v>207</v>
      </c>
      <c r="B95" s="14">
        <v>46155</v>
      </c>
      <c r="C95" s="9" t="s">
        <v>208</v>
      </c>
      <c r="D95" s="9" t="s">
        <v>18</v>
      </c>
      <c r="E95" s="16">
        <v>10807.13</v>
      </c>
      <c r="F95" s="10" t="str">
        <f t="shared" si="2"/>
        <v>REF-1094|10807.13</v>
      </c>
    </row>
    <row r="96" spans="1:6">
      <c r="A96" s="8" t="s">
        <v>209</v>
      </c>
      <c r="B96" s="14">
        <v>46146</v>
      </c>
      <c r="C96" s="9" t="s">
        <v>210</v>
      </c>
      <c r="D96" s="9" t="s">
        <v>18</v>
      </c>
      <c r="E96" s="16">
        <v>7093.79</v>
      </c>
      <c r="F96" s="10" t="str">
        <f t="shared" si="2"/>
        <v>REF-1095|7093.79</v>
      </c>
    </row>
    <row r="97" spans="1:6">
      <c r="A97" s="8" t="s">
        <v>211</v>
      </c>
      <c r="B97" s="14">
        <v>46158</v>
      </c>
      <c r="C97" s="9" t="s">
        <v>212</v>
      </c>
      <c r="D97" s="9" t="s">
        <v>58</v>
      </c>
      <c r="E97" s="16">
        <v>1955.68</v>
      </c>
      <c r="F97" s="10" t="str">
        <f t="shared" si="2"/>
        <v>REF-1096|1955.68</v>
      </c>
    </row>
    <row r="98" spans="1:6">
      <c r="A98" s="8" t="s">
        <v>213</v>
      </c>
      <c r="B98" s="14">
        <v>46166</v>
      </c>
      <c r="C98" s="9" t="s">
        <v>214</v>
      </c>
      <c r="D98" s="9" t="s">
        <v>23</v>
      </c>
      <c r="E98" s="16">
        <v>-1085.74</v>
      </c>
      <c r="F98" s="10" t="str">
        <f t="shared" ref="F98:F129" si="3">C98&amp;"|"&amp;ROUND(E98,2)</f>
        <v>REF-1097|-1085.74</v>
      </c>
    </row>
    <row r="99" spans="1:6">
      <c r="A99" s="8" t="s">
        <v>215</v>
      </c>
      <c r="B99" s="14">
        <v>46154</v>
      </c>
      <c r="C99" s="9" t="s">
        <v>216</v>
      </c>
      <c r="D99" s="9" t="s">
        <v>58</v>
      </c>
      <c r="E99" s="16">
        <v>10259.120000000001</v>
      </c>
      <c r="F99" s="10" t="str">
        <f t="shared" si="3"/>
        <v>REF-1098|10259.12</v>
      </c>
    </row>
    <row r="100" spans="1:6">
      <c r="A100" s="8" t="s">
        <v>217</v>
      </c>
      <c r="B100" s="14">
        <v>46149</v>
      </c>
      <c r="C100" s="9" t="s">
        <v>218</v>
      </c>
      <c r="D100" s="9" t="s">
        <v>18</v>
      </c>
      <c r="E100" s="16">
        <v>-4292.6899999999996</v>
      </c>
      <c r="F100" s="10" t="str">
        <f t="shared" si="3"/>
        <v>REF-1099|-4292.69</v>
      </c>
    </row>
    <row r="101" spans="1:6">
      <c r="A101" s="8" t="s">
        <v>219</v>
      </c>
      <c r="B101" s="14">
        <v>46155</v>
      </c>
      <c r="C101" s="9" t="s">
        <v>220</v>
      </c>
      <c r="D101" s="9" t="s">
        <v>58</v>
      </c>
      <c r="E101" s="16">
        <v>13674.82</v>
      </c>
      <c r="F101" s="10" t="str">
        <f t="shared" si="3"/>
        <v>REF-1100|13674.82</v>
      </c>
    </row>
    <row r="102" spans="1:6">
      <c r="A102" s="8" t="s">
        <v>221</v>
      </c>
      <c r="B102" s="14">
        <v>46152</v>
      </c>
      <c r="C102" s="9" t="s">
        <v>222</v>
      </c>
      <c r="D102" s="9" t="s">
        <v>58</v>
      </c>
      <c r="E102" s="16">
        <v>13782.57</v>
      </c>
      <c r="F102" s="10" t="str">
        <f t="shared" si="3"/>
        <v>REF-1101|13782.57</v>
      </c>
    </row>
    <row r="103" spans="1:6">
      <c r="A103" s="8" t="s">
        <v>223</v>
      </c>
      <c r="B103" s="14">
        <v>46173</v>
      </c>
      <c r="C103" s="9" t="s">
        <v>224</v>
      </c>
      <c r="D103" s="9" t="s">
        <v>58</v>
      </c>
      <c r="E103" s="16">
        <v>-5107.28</v>
      </c>
      <c r="F103" s="10" t="str">
        <f t="shared" si="3"/>
        <v>REF-1102|-5107.28</v>
      </c>
    </row>
    <row r="104" spans="1:6">
      <c r="A104" s="8" t="s">
        <v>225</v>
      </c>
      <c r="B104" s="14">
        <v>46158</v>
      </c>
      <c r="C104" s="9" t="s">
        <v>226</v>
      </c>
      <c r="D104" s="9" t="s">
        <v>58</v>
      </c>
      <c r="E104" s="16">
        <v>-1613.78</v>
      </c>
      <c r="F104" s="10" t="str">
        <f t="shared" si="3"/>
        <v>REF-1103|-1613.78</v>
      </c>
    </row>
    <row r="105" spans="1:6">
      <c r="A105" s="8" t="s">
        <v>227</v>
      </c>
      <c r="B105" s="14">
        <v>46161</v>
      </c>
      <c r="C105" s="9" t="s">
        <v>228</v>
      </c>
      <c r="D105" s="9" t="s">
        <v>18</v>
      </c>
      <c r="E105" s="16">
        <v>13107.43</v>
      </c>
      <c r="F105" s="10" t="str">
        <f t="shared" si="3"/>
        <v>REF-1104|13107.43</v>
      </c>
    </row>
    <row r="106" spans="1:6">
      <c r="A106" s="8" t="s">
        <v>229</v>
      </c>
      <c r="B106" s="14">
        <v>46149</v>
      </c>
      <c r="C106" s="9" t="s">
        <v>230</v>
      </c>
      <c r="D106" s="9" t="s">
        <v>18</v>
      </c>
      <c r="E106" s="16">
        <v>4067.12</v>
      </c>
      <c r="F106" s="10" t="str">
        <f t="shared" si="3"/>
        <v>REF-1105|4067.12</v>
      </c>
    </row>
    <row r="107" spans="1:6">
      <c r="A107" s="8" t="s">
        <v>231</v>
      </c>
      <c r="B107" s="14">
        <v>46153</v>
      </c>
      <c r="C107" s="9" t="s">
        <v>232</v>
      </c>
      <c r="D107" s="9" t="s">
        <v>23</v>
      </c>
      <c r="E107" s="16">
        <v>14508.88</v>
      </c>
      <c r="F107" s="10" t="str">
        <f t="shared" si="3"/>
        <v>REF-1106|14508.88</v>
      </c>
    </row>
    <row r="108" spans="1:6">
      <c r="A108" s="8" t="s">
        <v>233</v>
      </c>
      <c r="B108" s="14">
        <v>46152</v>
      </c>
      <c r="C108" s="9" t="s">
        <v>234</v>
      </c>
      <c r="D108" s="9" t="s">
        <v>26</v>
      </c>
      <c r="E108" s="16">
        <v>10609.32</v>
      </c>
      <c r="F108" s="10" t="str">
        <f t="shared" si="3"/>
        <v>REF-1107|10609.32</v>
      </c>
    </row>
    <row r="109" spans="1:6">
      <c r="A109" s="8" t="s">
        <v>235</v>
      </c>
      <c r="B109" s="14">
        <v>46148</v>
      </c>
      <c r="C109" s="9" t="s">
        <v>236</v>
      </c>
      <c r="D109" s="9" t="s">
        <v>26</v>
      </c>
      <c r="E109" s="16">
        <v>7994.32</v>
      </c>
      <c r="F109" s="10" t="str">
        <f t="shared" si="3"/>
        <v>REF-1108|7994.32</v>
      </c>
    </row>
    <row r="110" spans="1:6">
      <c r="A110" s="8" t="s">
        <v>237</v>
      </c>
      <c r="B110" s="14">
        <v>46158</v>
      </c>
      <c r="C110" s="9" t="s">
        <v>238</v>
      </c>
      <c r="D110" s="9" t="s">
        <v>23</v>
      </c>
      <c r="E110" s="16">
        <v>2484.42</v>
      </c>
      <c r="F110" s="10" t="str">
        <f t="shared" si="3"/>
        <v>REF-1109|2484.42</v>
      </c>
    </row>
    <row r="111" spans="1:6">
      <c r="A111" s="8" t="s">
        <v>239</v>
      </c>
      <c r="B111" s="14">
        <v>46143</v>
      </c>
      <c r="C111" s="9" t="s">
        <v>240</v>
      </c>
      <c r="D111" s="9" t="s">
        <v>58</v>
      </c>
      <c r="E111" s="16">
        <v>9407.33</v>
      </c>
      <c r="F111" s="10" t="str">
        <f t="shared" si="3"/>
        <v>REF-1110|9407.33</v>
      </c>
    </row>
    <row r="112" spans="1:6">
      <c r="A112" s="8" t="s">
        <v>241</v>
      </c>
      <c r="B112" s="14">
        <v>46156</v>
      </c>
      <c r="C112" s="9" t="s">
        <v>242</v>
      </c>
      <c r="D112" s="9" t="s">
        <v>18</v>
      </c>
      <c r="E112" s="16">
        <v>11644.89</v>
      </c>
      <c r="F112" s="10" t="str">
        <f t="shared" si="3"/>
        <v>REF-1111|11644.89</v>
      </c>
    </row>
    <row r="113" spans="1:6">
      <c r="A113" s="8" t="s">
        <v>243</v>
      </c>
      <c r="B113" s="14">
        <v>46153</v>
      </c>
      <c r="C113" s="9" t="s">
        <v>244</v>
      </c>
      <c r="D113" s="9" t="s">
        <v>18</v>
      </c>
      <c r="E113" s="16">
        <v>13894.85</v>
      </c>
      <c r="F113" s="10" t="str">
        <f t="shared" si="3"/>
        <v>REF-1112|13894.85</v>
      </c>
    </row>
    <row r="114" spans="1:6">
      <c r="A114" s="8" t="s">
        <v>245</v>
      </c>
      <c r="B114" s="14">
        <v>46154</v>
      </c>
      <c r="C114" s="9" t="s">
        <v>246</v>
      </c>
      <c r="D114" s="9" t="s">
        <v>33</v>
      </c>
      <c r="E114" s="16">
        <v>6170.01</v>
      </c>
      <c r="F114" s="10" t="str">
        <f t="shared" si="3"/>
        <v>REF-1113|6170.01</v>
      </c>
    </row>
    <row r="115" spans="1:6">
      <c r="A115" s="8" t="s">
        <v>247</v>
      </c>
      <c r="B115" s="14">
        <v>46153</v>
      </c>
      <c r="C115" s="9" t="s">
        <v>248</v>
      </c>
      <c r="D115" s="9" t="s">
        <v>18</v>
      </c>
      <c r="E115" s="16">
        <v>-558.84</v>
      </c>
      <c r="F115" s="10" t="str">
        <f t="shared" si="3"/>
        <v>REF-1114|-558.84</v>
      </c>
    </row>
    <row r="116" spans="1:6">
      <c r="A116" s="8" t="s">
        <v>249</v>
      </c>
      <c r="B116" s="14">
        <v>46173</v>
      </c>
      <c r="C116" s="9" t="s">
        <v>250</v>
      </c>
      <c r="D116" s="9" t="s">
        <v>58</v>
      </c>
      <c r="E116" s="16">
        <v>-7660.24</v>
      </c>
      <c r="F116" s="10" t="str">
        <f t="shared" si="3"/>
        <v>REF-1115|-7660.24</v>
      </c>
    </row>
    <row r="117" spans="1:6">
      <c r="A117" s="8" t="s">
        <v>251</v>
      </c>
      <c r="B117" s="14">
        <v>46149</v>
      </c>
      <c r="C117" s="9" t="s">
        <v>252</v>
      </c>
      <c r="D117" s="9" t="s">
        <v>23</v>
      </c>
      <c r="E117" s="16">
        <v>628.95000000000005</v>
      </c>
      <c r="F117" s="10" t="str">
        <f t="shared" si="3"/>
        <v>REF-1116|628.95</v>
      </c>
    </row>
    <row r="118" spans="1:6">
      <c r="A118" s="8" t="s">
        <v>253</v>
      </c>
      <c r="B118" s="14">
        <v>46166</v>
      </c>
      <c r="C118" s="9" t="s">
        <v>254</v>
      </c>
      <c r="D118" s="9" t="s">
        <v>33</v>
      </c>
      <c r="E118" s="16">
        <v>9451.36</v>
      </c>
      <c r="F118" s="10" t="str">
        <f t="shared" si="3"/>
        <v>REF-1117|9451.36</v>
      </c>
    </row>
    <row r="119" spans="1:6">
      <c r="A119" s="8" t="s">
        <v>255</v>
      </c>
      <c r="B119" s="14">
        <v>46168</v>
      </c>
      <c r="C119" s="9" t="s">
        <v>256</v>
      </c>
      <c r="D119" s="9" t="s">
        <v>23</v>
      </c>
      <c r="E119" s="16">
        <v>-8470.35</v>
      </c>
      <c r="F119" s="10" t="str">
        <f t="shared" si="3"/>
        <v>REF-1118|-8470.35</v>
      </c>
    </row>
    <row r="120" spans="1:6">
      <c r="A120" s="8" t="s">
        <v>257</v>
      </c>
      <c r="B120" s="14">
        <v>46158</v>
      </c>
      <c r="C120" s="9" t="s">
        <v>258</v>
      </c>
      <c r="D120" s="9" t="s">
        <v>58</v>
      </c>
      <c r="E120" s="16">
        <v>-5520.97</v>
      </c>
      <c r="F120" s="10" t="str">
        <f t="shared" si="3"/>
        <v>REF-1119|-5520.97</v>
      </c>
    </row>
    <row r="121" spans="1:6">
      <c r="A121" s="11" t="s">
        <v>259</v>
      </c>
      <c r="B121" s="15">
        <v>46169</v>
      </c>
      <c r="C121" s="12" t="s">
        <v>260</v>
      </c>
      <c r="D121" s="12" t="s">
        <v>23</v>
      </c>
      <c r="E121" s="17">
        <v>-5028.6099999999997</v>
      </c>
      <c r="F121" s="13" t="str">
        <f t="shared" si="3"/>
        <v>REF-1120|-5028.61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6"/>
  <sheetViews>
    <sheetView workbookViewId="0"/>
  </sheetViews>
  <sheetFormatPr defaultRowHeight="13.8"/>
  <cols>
    <col min="1" max="1" width="12" customWidth="1"/>
    <col min="2" max="2" width="13" customWidth="1"/>
    <col min="3" max="3" width="14" customWidth="1"/>
    <col min="4" max="4" width="22" customWidth="1"/>
    <col min="5" max="5" width="14" customWidth="1"/>
    <col min="6" max="6" width="24" customWidth="1"/>
    <col min="7" max="7" width="20" customWidth="1"/>
    <col min="8" max="9" width="14" customWidth="1"/>
  </cols>
  <sheetData>
    <row r="1" spans="1:9" ht="24" customHeight="1">
      <c r="A1" s="18" t="s">
        <v>261</v>
      </c>
      <c r="B1" s="19" t="s">
        <v>262</v>
      </c>
      <c r="C1" s="19" t="s">
        <v>12</v>
      </c>
      <c r="D1" s="19" t="s">
        <v>13</v>
      </c>
      <c r="E1" s="19" t="s">
        <v>263</v>
      </c>
      <c r="F1" s="19" t="s">
        <v>15</v>
      </c>
      <c r="G1" s="19" t="s">
        <v>264</v>
      </c>
      <c r="H1" s="20" t="s">
        <v>265</v>
      </c>
      <c r="I1" s="33" t="s">
        <v>266</v>
      </c>
    </row>
    <row r="2" spans="1:9">
      <c r="A2" s="8" t="s">
        <v>267</v>
      </c>
      <c r="B2" s="14">
        <v>46164</v>
      </c>
      <c r="C2" s="9" t="s">
        <v>17</v>
      </c>
      <c r="D2" s="9" t="s">
        <v>268</v>
      </c>
      <c r="E2" s="16">
        <v>-4477.3500000000004</v>
      </c>
      <c r="F2" s="9" t="str">
        <f t="shared" ref="F2:F33" si="0">C2&amp;"|"&amp;ROUND(E2,2)</f>
        <v>REF-1001|-4477.35</v>
      </c>
      <c r="G2" s="9" t="str">
        <f>IF(COUNTIF(Bank_Statement!$F:$F,F2)&gt;0,"Matched","Unmatched GL Item")</f>
        <v>Matched</v>
      </c>
      <c r="H2" s="21">
        <f t="shared" ref="H2:H33" si="1">IF(G2="Matched",0,E2)</f>
        <v>0</v>
      </c>
      <c r="I2" s="32" t="str">
        <f>IF(G2&lt;&gt;"Matched",COUNTIF($G$2:G2,"&lt;&gt;Matched"),"")</f>
        <v/>
      </c>
    </row>
    <row r="3" spans="1:9">
      <c r="A3" s="8" t="s">
        <v>269</v>
      </c>
      <c r="B3" s="14">
        <v>46157</v>
      </c>
      <c r="C3" s="9" t="s">
        <v>20</v>
      </c>
      <c r="D3" s="9" t="s">
        <v>268</v>
      </c>
      <c r="E3" s="16">
        <v>-294.75</v>
      </c>
      <c r="F3" s="9" t="str">
        <f t="shared" si="0"/>
        <v>REF-1002|-294.75</v>
      </c>
      <c r="G3" s="9" t="str">
        <f>IF(COUNTIF(Bank_Statement!$F:$F,F3)&gt;0,"Matched","Unmatched GL Item")</f>
        <v>Matched</v>
      </c>
      <c r="H3" s="21">
        <f t="shared" si="1"/>
        <v>0</v>
      </c>
      <c r="I3" s="32" t="str">
        <f>IF(G3&lt;&gt;"Matched",COUNTIF($G$2:G3,"&lt;&gt;Matched"),"")</f>
        <v/>
      </c>
    </row>
    <row r="4" spans="1:9">
      <c r="A4" s="8" t="s">
        <v>270</v>
      </c>
      <c r="B4" s="14">
        <v>46159</v>
      </c>
      <c r="C4" s="9" t="s">
        <v>22</v>
      </c>
      <c r="D4" s="9" t="s">
        <v>268</v>
      </c>
      <c r="E4" s="16">
        <v>11298.63</v>
      </c>
      <c r="F4" s="9" t="str">
        <f t="shared" si="0"/>
        <v>REF-1003|11298.63</v>
      </c>
      <c r="G4" s="9" t="str">
        <f>IF(COUNTIF(Bank_Statement!$F:$F,F4)&gt;0,"Matched","Unmatched GL Item")</f>
        <v>Matched</v>
      </c>
      <c r="H4" s="21">
        <f t="shared" si="1"/>
        <v>0</v>
      </c>
      <c r="I4" s="32" t="str">
        <f>IF(G4&lt;&gt;"Matched",COUNTIF($G$2:G4,"&lt;&gt;Matched"),"")</f>
        <v/>
      </c>
    </row>
    <row r="5" spans="1:9">
      <c r="A5" s="8" t="s">
        <v>271</v>
      </c>
      <c r="B5" s="14">
        <v>46152</v>
      </c>
      <c r="C5" s="9" t="s">
        <v>28</v>
      </c>
      <c r="D5" s="9" t="s">
        <v>268</v>
      </c>
      <c r="E5" s="16">
        <v>-886.58</v>
      </c>
      <c r="F5" s="9" t="str">
        <f t="shared" si="0"/>
        <v>REF-1005|-886.58</v>
      </c>
      <c r="G5" s="9" t="str">
        <f>IF(COUNTIF(Bank_Statement!$F:$F,F5)&gt;0,"Matched","Unmatched GL Item")</f>
        <v>Matched</v>
      </c>
      <c r="H5" s="21">
        <f t="shared" si="1"/>
        <v>0</v>
      </c>
      <c r="I5" s="32" t="str">
        <f>IF(G5&lt;&gt;"Matched",COUNTIF($G$2:G5,"&lt;&gt;Matched"),"")</f>
        <v/>
      </c>
    </row>
    <row r="6" spans="1:9">
      <c r="A6" s="8" t="s">
        <v>272</v>
      </c>
      <c r="B6" s="14">
        <v>46145</v>
      </c>
      <c r="C6" s="9" t="s">
        <v>30</v>
      </c>
      <c r="D6" s="9" t="s">
        <v>268</v>
      </c>
      <c r="E6" s="16">
        <v>-2630.77</v>
      </c>
      <c r="F6" s="9" t="str">
        <f t="shared" si="0"/>
        <v>REF-1006|-2630.77</v>
      </c>
      <c r="G6" s="9" t="str">
        <f>IF(COUNTIF(Bank_Statement!$F:$F,F6)&gt;0,"Matched","Unmatched GL Item")</f>
        <v>Matched</v>
      </c>
      <c r="H6" s="21">
        <f t="shared" si="1"/>
        <v>0</v>
      </c>
      <c r="I6" s="32" t="str">
        <f>IF(G6&lt;&gt;"Matched",COUNTIF($G$2:G6,"&lt;&gt;Matched"),"")</f>
        <v/>
      </c>
    </row>
    <row r="7" spans="1:9">
      <c r="A7" s="8" t="s">
        <v>273</v>
      </c>
      <c r="B7" s="14">
        <v>46169</v>
      </c>
      <c r="C7" s="9" t="s">
        <v>32</v>
      </c>
      <c r="D7" s="9" t="s">
        <v>268</v>
      </c>
      <c r="E7" s="16">
        <v>3570.56</v>
      </c>
      <c r="F7" s="9" t="str">
        <f t="shared" si="0"/>
        <v>REF-1007|3570.56</v>
      </c>
      <c r="G7" s="9" t="str">
        <f>IF(COUNTIF(Bank_Statement!$F:$F,F7)&gt;0,"Matched","Unmatched GL Item")</f>
        <v>Matched</v>
      </c>
      <c r="H7" s="21">
        <f t="shared" si="1"/>
        <v>0</v>
      </c>
      <c r="I7" s="32" t="str">
        <f>IF(G7&lt;&gt;"Matched",COUNTIF($G$2:G7,"&lt;&gt;Matched"),"")</f>
        <v/>
      </c>
    </row>
    <row r="8" spans="1:9">
      <c r="A8" s="8" t="s">
        <v>274</v>
      </c>
      <c r="B8" s="14">
        <v>46150</v>
      </c>
      <c r="C8" s="9" t="s">
        <v>35</v>
      </c>
      <c r="D8" s="9" t="s">
        <v>268</v>
      </c>
      <c r="E8" s="16">
        <v>-3319.95</v>
      </c>
      <c r="F8" s="9" t="str">
        <f t="shared" si="0"/>
        <v>REF-1008|-3319.95</v>
      </c>
      <c r="G8" s="9" t="str">
        <f>IF(COUNTIF(Bank_Statement!$F:$F,F8)&gt;0,"Matched","Unmatched GL Item")</f>
        <v>Matched</v>
      </c>
      <c r="H8" s="21">
        <f t="shared" si="1"/>
        <v>0</v>
      </c>
      <c r="I8" s="32" t="str">
        <f>IF(G8&lt;&gt;"Matched",COUNTIF($G$2:G8,"&lt;&gt;Matched"),"")</f>
        <v/>
      </c>
    </row>
    <row r="9" spans="1:9">
      <c r="A9" s="8" t="s">
        <v>275</v>
      </c>
      <c r="B9" s="14">
        <v>46173</v>
      </c>
      <c r="C9" s="9" t="s">
        <v>37</v>
      </c>
      <c r="D9" s="9" t="s">
        <v>268</v>
      </c>
      <c r="E9" s="16">
        <v>4438.93</v>
      </c>
      <c r="F9" s="9" t="str">
        <f t="shared" si="0"/>
        <v>REF-1009|4438.93</v>
      </c>
      <c r="G9" s="9" t="str">
        <f>IF(COUNTIF(Bank_Statement!$F:$F,F9)&gt;0,"Matched","Unmatched GL Item")</f>
        <v>Matched</v>
      </c>
      <c r="H9" s="21">
        <f t="shared" si="1"/>
        <v>0</v>
      </c>
      <c r="I9" s="32" t="str">
        <f>IF(G9&lt;&gt;"Matched",COUNTIF($G$2:G9,"&lt;&gt;Matched"),"")</f>
        <v/>
      </c>
    </row>
    <row r="10" spans="1:9">
      <c r="A10" s="8" t="s">
        <v>276</v>
      </c>
      <c r="B10" s="14">
        <v>46157</v>
      </c>
      <c r="C10" s="9" t="s">
        <v>43</v>
      </c>
      <c r="D10" s="9" t="s">
        <v>268</v>
      </c>
      <c r="E10" s="16">
        <v>-7280.51</v>
      </c>
      <c r="F10" s="9" t="str">
        <f t="shared" si="0"/>
        <v>REF-1012|-7280.51</v>
      </c>
      <c r="G10" s="9" t="str">
        <f>IF(COUNTIF(Bank_Statement!$F:$F,F10)&gt;0,"Matched","Unmatched GL Item")</f>
        <v>Matched</v>
      </c>
      <c r="H10" s="21">
        <f t="shared" si="1"/>
        <v>0</v>
      </c>
      <c r="I10" s="32" t="str">
        <f>IF(G10&lt;&gt;"Matched",COUNTIF($G$2:G10,"&lt;&gt;Matched"),"")</f>
        <v/>
      </c>
    </row>
    <row r="11" spans="1:9">
      <c r="A11" s="8" t="s">
        <v>277</v>
      </c>
      <c r="B11" s="14">
        <v>46163</v>
      </c>
      <c r="C11" s="9" t="s">
        <v>45</v>
      </c>
      <c r="D11" s="9" t="s">
        <v>268</v>
      </c>
      <c r="E11" s="16">
        <v>-5234.09</v>
      </c>
      <c r="F11" s="9" t="str">
        <f t="shared" si="0"/>
        <v>REF-1013|-5234.09</v>
      </c>
      <c r="G11" s="9" t="str">
        <f>IF(COUNTIF(Bank_Statement!$F:$F,F11)&gt;0,"Matched","Unmatched GL Item")</f>
        <v>Matched</v>
      </c>
      <c r="H11" s="21">
        <f t="shared" si="1"/>
        <v>0</v>
      </c>
      <c r="I11" s="32" t="str">
        <f>IF(G11&lt;&gt;"Matched",COUNTIF($G$2:G11,"&lt;&gt;Matched"),"")</f>
        <v/>
      </c>
    </row>
    <row r="12" spans="1:9">
      <c r="A12" s="8" t="s">
        <v>278</v>
      </c>
      <c r="B12" s="14">
        <v>46171</v>
      </c>
      <c r="C12" s="9" t="s">
        <v>47</v>
      </c>
      <c r="D12" s="9" t="s">
        <v>268</v>
      </c>
      <c r="E12" s="16">
        <v>5342.67</v>
      </c>
      <c r="F12" s="9" t="str">
        <f t="shared" si="0"/>
        <v>REF-1014|5342.67</v>
      </c>
      <c r="G12" s="9" t="str">
        <f>IF(COUNTIF(Bank_Statement!$F:$F,F12)&gt;0,"Matched","Unmatched GL Item")</f>
        <v>Unmatched GL Item</v>
      </c>
      <c r="H12" s="21">
        <f t="shared" si="1"/>
        <v>5342.67</v>
      </c>
      <c r="I12" s="32">
        <f>IF(G12&lt;&gt;"Matched",COUNTIF($G$2:G12,"&lt;&gt;Matched"),"")</f>
        <v>1</v>
      </c>
    </row>
    <row r="13" spans="1:9">
      <c r="A13" s="8" t="s">
        <v>279</v>
      </c>
      <c r="B13" s="14">
        <v>46154</v>
      </c>
      <c r="C13" s="9" t="s">
        <v>49</v>
      </c>
      <c r="D13" s="9" t="s">
        <v>268</v>
      </c>
      <c r="E13" s="16">
        <v>-3432.75</v>
      </c>
      <c r="F13" s="9" t="str">
        <f t="shared" si="0"/>
        <v>REF-1015|-3432.75</v>
      </c>
      <c r="G13" s="9" t="str">
        <f>IF(COUNTIF(Bank_Statement!$F:$F,F13)&gt;0,"Matched","Unmatched GL Item")</f>
        <v>Matched</v>
      </c>
      <c r="H13" s="21">
        <f t="shared" si="1"/>
        <v>0</v>
      </c>
      <c r="I13" s="32" t="str">
        <f>IF(G13&lt;&gt;"Matched",COUNTIF($G$2:G13,"&lt;&gt;Matched"),"")</f>
        <v/>
      </c>
    </row>
    <row r="14" spans="1:9">
      <c r="A14" s="8" t="s">
        <v>280</v>
      </c>
      <c r="B14" s="14">
        <v>46167</v>
      </c>
      <c r="C14" s="9" t="s">
        <v>51</v>
      </c>
      <c r="D14" s="9" t="s">
        <v>268</v>
      </c>
      <c r="E14" s="16">
        <v>-5256.88</v>
      </c>
      <c r="F14" s="9" t="str">
        <f t="shared" si="0"/>
        <v>REF-1016|-5256.88</v>
      </c>
      <c r="G14" s="9" t="str">
        <f>IF(COUNTIF(Bank_Statement!$F:$F,F14)&gt;0,"Matched","Unmatched GL Item")</f>
        <v>Matched</v>
      </c>
      <c r="H14" s="21">
        <f t="shared" si="1"/>
        <v>0</v>
      </c>
      <c r="I14" s="32" t="str">
        <f>IF(G14&lt;&gt;"Matched",COUNTIF($G$2:G14,"&lt;&gt;Matched"),"")</f>
        <v/>
      </c>
    </row>
    <row r="15" spans="1:9">
      <c r="A15" s="8" t="s">
        <v>281</v>
      </c>
      <c r="B15" s="14">
        <v>46152</v>
      </c>
      <c r="C15" s="9" t="s">
        <v>53</v>
      </c>
      <c r="D15" s="9" t="s">
        <v>268</v>
      </c>
      <c r="E15" s="16">
        <v>4364.6400000000003</v>
      </c>
      <c r="F15" s="9" t="str">
        <f t="shared" si="0"/>
        <v>REF-1017|4364.64</v>
      </c>
      <c r="G15" s="9" t="str">
        <f>IF(COUNTIF(Bank_Statement!$F:$F,F15)&gt;0,"Matched","Unmatched GL Item")</f>
        <v>Matched</v>
      </c>
      <c r="H15" s="21">
        <f t="shared" si="1"/>
        <v>0</v>
      </c>
      <c r="I15" s="32" t="str">
        <f>IF(G15&lt;&gt;"Matched",COUNTIF($G$2:G15,"&lt;&gt;Matched"),"")</f>
        <v/>
      </c>
    </row>
    <row r="16" spans="1:9">
      <c r="A16" s="8" t="s">
        <v>282</v>
      </c>
      <c r="B16" s="14">
        <v>46167</v>
      </c>
      <c r="C16" s="9" t="s">
        <v>55</v>
      </c>
      <c r="D16" s="9" t="s">
        <v>268</v>
      </c>
      <c r="E16" s="16">
        <v>10160.620000000001</v>
      </c>
      <c r="F16" s="9" t="str">
        <f t="shared" si="0"/>
        <v>REF-1018|10160.62</v>
      </c>
      <c r="G16" s="9" t="str">
        <f>IF(COUNTIF(Bank_Statement!$F:$F,F16)&gt;0,"Matched","Unmatched GL Item")</f>
        <v>Matched</v>
      </c>
      <c r="H16" s="21">
        <f t="shared" si="1"/>
        <v>0</v>
      </c>
      <c r="I16" s="32" t="str">
        <f>IF(G16&lt;&gt;"Matched",COUNTIF($G$2:G16,"&lt;&gt;Matched"),"")</f>
        <v/>
      </c>
    </row>
    <row r="17" spans="1:9">
      <c r="A17" s="8" t="s">
        <v>283</v>
      </c>
      <c r="B17" s="14">
        <v>46154</v>
      </c>
      <c r="C17" s="9" t="s">
        <v>60</v>
      </c>
      <c r="D17" s="9" t="s">
        <v>268</v>
      </c>
      <c r="E17" s="16">
        <v>-1806.1</v>
      </c>
      <c r="F17" s="9" t="str">
        <f t="shared" si="0"/>
        <v>REF-1020|-1806.1</v>
      </c>
      <c r="G17" s="9" t="str">
        <f>IF(COUNTIF(Bank_Statement!$F:$F,F17)&gt;0,"Matched","Unmatched GL Item")</f>
        <v>Matched</v>
      </c>
      <c r="H17" s="21">
        <f t="shared" si="1"/>
        <v>0</v>
      </c>
      <c r="I17" s="32" t="str">
        <f>IF(G17&lt;&gt;"Matched",COUNTIF($G$2:G17,"&lt;&gt;Matched"),"")</f>
        <v/>
      </c>
    </row>
    <row r="18" spans="1:9">
      <c r="A18" s="8" t="s">
        <v>284</v>
      </c>
      <c r="B18" s="14">
        <v>46153</v>
      </c>
      <c r="C18" s="9" t="s">
        <v>62</v>
      </c>
      <c r="D18" s="9" t="s">
        <v>268</v>
      </c>
      <c r="E18" s="16">
        <v>-7539.57</v>
      </c>
      <c r="F18" s="9" t="str">
        <f t="shared" si="0"/>
        <v>REF-1021|-7539.57</v>
      </c>
      <c r="G18" s="9" t="str">
        <f>IF(COUNTIF(Bank_Statement!$F:$F,F18)&gt;0,"Matched","Unmatched GL Item")</f>
        <v>Unmatched GL Item</v>
      </c>
      <c r="H18" s="21">
        <f t="shared" si="1"/>
        <v>-7539.57</v>
      </c>
      <c r="I18" s="32">
        <f>IF(G18&lt;&gt;"Matched",COUNTIF($G$2:G18,"&lt;&gt;Matched"),"")</f>
        <v>2</v>
      </c>
    </row>
    <row r="19" spans="1:9">
      <c r="A19" s="8" t="s">
        <v>285</v>
      </c>
      <c r="B19" s="14">
        <v>46168</v>
      </c>
      <c r="C19" s="9" t="s">
        <v>64</v>
      </c>
      <c r="D19" s="9" t="s">
        <v>268</v>
      </c>
      <c r="E19" s="16">
        <v>14650.94</v>
      </c>
      <c r="F19" s="9" t="str">
        <f t="shared" si="0"/>
        <v>REF-1022|14650.94</v>
      </c>
      <c r="G19" s="9" t="str">
        <f>IF(COUNTIF(Bank_Statement!$F:$F,F19)&gt;0,"Matched","Unmatched GL Item")</f>
        <v>Matched</v>
      </c>
      <c r="H19" s="21">
        <f t="shared" si="1"/>
        <v>0</v>
      </c>
      <c r="I19" s="32" t="str">
        <f>IF(G19&lt;&gt;"Matched",COUNTIF($G$2:G19,"&lt;&gt;Matched"),"")</f>
        <v/>
      </c>
    </row>
    <row r="20" spans="1:9">
      <c r="A20" s="8" t="s">
        <v>286</v>
      </c>
      <c r="B20" s="14">
        <v>46143</v>
      </c>
      <c r="C20" s="9" t="s">
        <v>66</v>
      </c>
      <c r="D20" s="9" t="s">
        <v>268</v>
      </c>
      <c r="E20" s="16">
        <v>-711.91</v>
      </c>
      <c r="F20" s="9" t="str">
        <f t="shared" si="0"/>
        <v>REF-1023|-711.91</v>
      </c>
      <c r="G20" s="9" t="str">
        <f>IF(COUNTIF(Bank_Statement!$F:$F,F20)&gt;0,"Matched","Unmatched GL Item")</f>
        <v>Unmatched GL Item</v>
      </c>
      <c r="H20" s="21">
        <f t="shared" si="1"/>
        <v>-711.91</v>
      </c>
      <c r="I20" s="32">
        <f>IF(G20&lt;&gt;"Matched",COUNTIF($G$2:G20,"&lt;&gt;Matched"),"")</f>
        <v>3</v>
      </c>
    </row>
    <row r="21" spans="1:9">
      <c r="A21" s="8" t="s">
        <v>287</v>
      </c>
      <c r="B21" s="14">
        <v>46150</v>
      </c>
      <c r="C21" s="9" t="s">
        <v>68</v>
      </c>
      <c r="D21" s="9" t="s">
        <v>268</v>
      </c>
      <c r="E21" s="16">
        <v>-5113.5200000000004</v>
      </c>
      <c r="F21" s="9" t="str">
        <f t="shared" si="0"/>
        <v>REF-1024|-5113.52</v>
      </c>
      <c r="G21" s="9" t="str">
        <f>IF(COUNTIF(Bank_Statement!$F:$F,F21)&gt;0,"Matched","Unmatched GL Item")</f>
        <v>Matched</v>
      </c>
      <c r="H21" s="21">
        <f t="shared" si="1"/>
        <v>0</v>
      </c>
      <c r="I21" s="32" t="str">
        <f>IF(G21&lt;&gt;"Matched",COUNTIF($G$2:G21,"&lt;&gt;Matched"),"")</f>
        <v/>
      </c>
    </row>
    <row r="22" spans="1:9">
      <c r="A22" s="8" t="s">
        <v>288</v>
      </c>
      <c r="B22" s="14">
        <v>46151</v>
      </c>
      <c r="C22" s="9" t="s">
        <v>70</v>
      </c>
      <c r="D22" s="9" t="s">
        <v>268</v>
      </c>
      <c r="E22" s="16">
        <v>-152.04</v>
      </c>
      <c r="F22" s="9" t="str">
        <f t="shared" si="0"/>
        <v>REF-1025|-152.04</v>
      </c>
      <c r="G22" s="9" t="str">
        <f>IF(COUNTIF(Bank_Statement!$F:$F,F22)&gt;0,"Matched","Unmatched GL Item")</f>
        <v>Matched</v>
      </c>
      <c r="H22" s="21">
        <f t="shared" si="1"/>
        <v>0</v>
      </c>
      <c r="I22" s="32" t="str">
        <f>IF(G22&lt;&gt;"Matched",COUNTIF($G$2:G22,"&lt;&gt;Matched"),"")</f>
        <v/>
      </c>
    </row>
    <row r="23" spans="1:9">
      <c r="A23" s="8" t="s">
        <v>289</v>
      </c>
      <c r="B23" s="14">
        <v>46146</v>
      </c>
      <c r="C23" s="9" t="s">
        <v>72</v>
      </c>
      <c r="D23" s="9" t="s">
        <v>268</v>
      </c>
      <c r="E23" s="16">
        <v>-1278.44</v>
      </c>
      <c r="F23" s="9" t="str">
        <f t="shared" si="0"/>
        <v>REF-1026|-1278.44</v>
      </c>
      <c r="G23" s="9" t="str">
        <f>IF(COUNTIF(Bank_Statement!$F:$F,F23)&gt;0,"Matched","Unmatched GL Item")</f>
        <v>Unmatched GL Item</v>
      </c>
      <c r="H23" s="21">
        <f t="shared" si="1"/>
        <v>-1278.44</v>
      </c>
      <c r="I23" s="32">
        <f>IF(G23&lt;&gt;"Matched",COUNTIF($G$2:G23,"&lt;&gt;Matched"),"")</f>
        <v>4</v>
      </c>
    </row>
    <row r="24" spans="1:9">
      <c r="A24" s="8" t="s">
        <v>290</v>
      </c>
      <c r="B24" s="14">
        <v>46149</v>
      </c>
      <c r="C24" s="9" t="s">
        <v>74</v>
      </c>
      <c r="D24" s="9" t="s">
        <v>268</v>
      </c>
      <c r="E24" s="16">
        <v>6398.76</v>
      </c>
      <c r="F24" s="9" t="str">
        <f t="shared" si="0"/>
        <v>REF-1027|6398.76</v>
      </c>
      <c r="G24" s="9" t="str">
        <f>IF(COUNTIF(Bank_Statement!$F:$F,F24)&gt;0,"Matched","Unmatched GL Item")</f>
        <v>Matched</v>
      </c>
      <c r="H24" s="21">
        <f t="shared" si="1"/>
        <v>0</v>
      </c>
      <c r="I24" s="32" t="str">
        <f>IF(G24&lt;&gt;"Matched",COUNTIF($G$2:G24,"&lt;&gt;Matched"),"")</f>
        <v/>
      </c>
    </row>
    <row r="25" spans="1:9">
      <c r="A25" s="8" t="s">
        <v>291</v>
      </c>
      <c r="B25" s="14">
        <v>46151</v>
      </c>
      <c r="C25" s="9" t="s">
        <v>76</v>
      </c>
      <c r="D25" s="9" t="s">
        <v>268</v>
      </c>
      <c r="E25" s="16">
        <v>7043.12</v>
      </c>
      <c r="F25" s="9" t="str">
        <f t="shared" si="0"/>
        <v>REF-1028|7043.12</v>
      </c>
      <c r="G25" s="9" t="str">
        <f>IF(COUNTIF(Bank_Statement!$F:$F,F25)&gt;0,"Matched","Unmatched GL Item")</f>
        <v>Matched</v>
      </c>
      <c r="H25" s="21">
        <f t="shared" si="1"/>
        <v>0</v>
      </c>
      <c r="I25" s="32" t="str">
        <f>IF(G25&lt;&gt;"Matched",COUNTIF($G$2:G25,"&lt;&gt;Matched"),"")</f>
        <v/>
      </c>
    </row>
    <row r="26" spans="1:9">
      <c r="A26" s="8" t="s">
        <v>292</v>
      </c>
      <c r="B26" s="14">
        <v>46149</v>
      </c>
      <c r="C26" s="9" t="s">
        <v>78</v>
      </c>
      <c r="D26" s="9" t="s">
        <v>268</v>
      </c>
      <c r="E26" s="16">
        <v>-3525.06</v>
      </c>
      <c r="F26" s="9" t="str">
        <f t="shared" si="0"/>
        <v>REF-1029|-3525.06</v>
      </c>
      <c r="G26" s="9" t="str">
        <f>IF(COUNTIF(Bank_Statement!$F:$F,F26)&gt;0,"Matched","Unmatched GL Item")</f>
        <v>Matched</v>
      </c>
      <c r="H26" s="21">
        <f t="shared" si="1"/>
        <v>0</v>
      </c>
      <c r="I26" s="32" t="str">
        <f>IF(G26&lt;&gt;"Matched",COUNTIF($G$2:G26,"&lt;&gt;Matched"),"")</f>
        <v/>
      </c>
    </row>
    <row r="27" spans="1:9">
      <c r="A27" s="8" t="s">
        <v>293</v>
      </c>
      <c r="B27" s="14">
        <v>46148</v>
      </c>
      <c r="C27" s="9" t="s">
        <v>80</v>
      </c>
      <c r="D27" s="9" t="s">
        <v>268</v>
      </c>
      <c r="E27" s="16">
        <v>10951.27</v>
      </c>
      <c r="F27" s="9" t="str">
        <f t="shared" si="0"/>
        <v>REF-1030|10951.27</v>
      </c>
      <c r="G27" s="9" t="str">
        <f>IF(COUNTIF(Bank_Statement!$F:$F,F27)&gt;0,"Matched","Unmatched GL Item")</f>
        <v>Matched</v>
      </c>
      <c r="H27" s="21">
        <f t="shared" si="1"/>
        <v>0</v>
      </c>
      <c r="I27" s="32" t="str">
        <f>IF(G27&lt;&gt;"Matched",COUNTIF($G$2:G27,"&lt;&gt;Matched"),"")</f>
        <v/>
      </c>
    </row>
    <row r="28" spans="1:9">
      <c r="A28" s="8" t="s">
        <v>294</v>
      </c>
      <c r="B28" s="14">
        <v>46149</v>
      </c>
      <c r="C28" s="9" t="s">
        <v>82</v>
      </c>
      <c r="D28" s="9" t="s">
        <v>268</v>
      </c>
      <c r="E28" s="16">
        <v>8775.73</v>
      </c>
      <c r="F28" s="9" t="str">
        <f t="shared" si="0"/>
        <v>REF-1031|8775.73</v>
      </c>
      <c r="G28" s="9" t="str">
        <f>IF(COUNTIF(Bank_Statement!$F:$F,F28)&gt;0,"Matched","Unmatched GL Item")</f>
        <v>Unmatched GL Item</v>
      </c>
      <c r="H28" s="21">
        <f t="shared" si="1"/>
        <v>8775.73</v>
      </c>
      <c r="I28" s="32">
        <f>IF(G28&lt;&gt;"Matched",COUNTIF($G$2:G28,"&lt;&gt;Matched"),"")</f>
        <v>5</v>
      </c>
    </row>
    <row r="29" spans="1:9">
      <c r="A29" s="8" t="s">
        <v>295</v>
      </c>
      <c r="B29" s="14">
        <v>46165</v>
      </c>
      <c r="C29" s="9" t="s">
        <v>86</v>
      </c>
      <c r="D29" s="9" t="s">
        <v>268</v>
      </c>
      <c r="E29" s="16">
        <v>4095.5</v>
      </c>
      <c r="F29" s="9" t="str">
        <f t="shared" si="0"/>
        <v>REF-1033|4095.5</v>
      </c>
      <c r="G29" s="9" t="str">
        <f>IF(COUNTIF(Bank_Statement!$F:$F,F29)&gt;0,"Matched","Unmatched GL Item")</f>
        <v>Matched</v>
      </c>
      <c r="H29" s="21">
        <f t="shared" si="1"/>
        <v>0</v>
      </c>
      <c r="I29" s="32" t="str">
        <f>IF(G29&lt;&gt;"Matched",COUNTIF($G$2:G29,"&lt;&gt;Matched"),"")</f>
        <v/>
      </c>
    </row>
    <row r="30" spans="1:9">
      <c r="A30" s="8" t="s">
        <v>296</v>
      </c>
      <c r="B30" s="14">
        <v>46146</v>
      </c>
      <c r="C30" s="9" t="s">
        <v>88</v>
      </c>
      <c r="D30" s="9" t="s">
        <v>268</v>
      </c>
      <c r="E30" s="16">
        <v>-1500.67</v>
      </c>
      <c r="F30" s="9" t="str">
        <f t="shared" si="0"/>
        <v>REF-1034|-1500.67</v>
      </c>
      <c r="G30" s="9" t="str">
        <f>IF(COUNTIF(Bank_Statement!$F:$F,F30)&gt;0,"Matched","Unmatched GL Item")</f>
        <v>Matched</v>
      </c>
      <c r="H30" s="21">
        <f t="shared" si="1"/>
        <v>0</v>
      </c>
      <c r="I30" s="32" t="str">
        <f>IF(G30&lt;&gt;"Matched",COUNTIF($G$2:G30,"&lt;&gt;Matched"),"")</f>
        <v/>
      </c>
    </row>
    <row r="31" spans="1:9">
      <c r="A31" s="8" t="s">
        <v>297</v>
      </c>
      <c r="B31" s="14">
        <v>46160</v>
      </c>
      <c r="C31" s="9" t="s">
        <v>90</v>
      </c>
      <c r="D31" s="9" t="s">
        <v>268</v>
      </c>
      <c r="E31" s="16">
        <v>10944.89</v>
      </c>
      <c r="F31" s="9" t="str">
        <f t="shared" si="0"/>
        <v>REF-1035|10944.89</v>
      </c>
      <c r="G31" s="9" t="str">
        <f>IF(COUNTIF(Bank_Statement!$F:$F,F31)&gt;0,"Matched","Unmatched GL Item")</f>
        <v>Unmatched GL Item</v>
      </c>
      <c r="H31" s="21">
        <f t="shared" si="1"/>
        <v>10944.89</v>
      </c>
      <c r="I31" s="32">
        <f>IF(G31&lt;&gt;"Matched",COUNTIF($G$2:G31,"&lt;&gt;Matched"),"")</f>
        <v>6</v>
      </c>
    </row>
    <row r="32" spans="1:9">
      <c r="A32" s="8" t="s">
        <v>298</v>
      </c>
      <c r="B32" s="14">
        <v>46148</v>
      </c>
      <c r="C32" s="9" t="s">
        <v>92</v>
      </c>
      <c r="D32" s="9" t="s">
        <v>268</v>
      </c>
      <c r="E32" s="16">
        <v>8422.25</v>
      </c>
      <c r="F32" s="9" t="str">
        <f t="shared" si="0"/>
        <v>REF-1036|8422.25</v>
      </c>
      <c r="G32" s="9" t="str">
        <f>IF(COUNTIF(Bank_Statement!$F:$F,F32)&gt;0,"Matched","Unmatched GL Item")</f>
        <v>Matched</v>
      </c>
      <c r="H32" s="21">
        <f t="shared" si="1"/>
        <v>0</v>
      </c>
      <c r="I32" s="32" t="str">
        <f>IF(G32&lt;&gt;"Matched",COUNTIF($G$2:G32,"&lt;&gt;Matched"),"")</f>
        <v/>
      </c>
    </row>
    <row r="33" spans="1:9">
      <c r="A33" s="8" t="s">
        <v>299</v>
      </c>
      <c r="B33" s="14">
        <v>46153</v>
      </c>
      <c r="C33" s="9" t="s">
        <v>94</v>
      </c>
      <c r="D33" s="9" t="s">
        <v>268</v>
      </c>
      <c r="E33" s="16">
        <v>1884.79</v>
      </c>
      <c r="F33" s="9" t="str">
        <f t="shared" si="0"/>
        <v>REF-1037|1884.79</v>
      </c>
      <c r="G33" s="9" t="str">
        <f>IF(COUNTIF(Bank_Statement!$F:$F,F33)&gt;0,"Matched","Unmatched GL Item")</f>
        <v>Matched</v>
      </c>
      <c r="H33" s="21">
        <f t="shared" si="1"/>
        <v>0</v>
      </c>
      <c r="I33" s="32" t="str">
        <f>IF(G33&lt;&gt;"Matched",COUNTIF($G$2:G33,"&lt;&gt;Matched"),"")</f>
        <v/>
      </c>
    </row>
    <row r="34" spans="1:9">
      <c r="A34" s="8" t="s">
        <v>300</v>
      </c>
      <c r="B34" s="14">
        <v>46143</v>
      </c>
      <c r="C34" s="9" t="s">
        <v>96</v>
      </c>
      <c r="D34" s="9" t="s">
        <v>268</v>
      </c>
      <c r="E34" s="16">
        <v>-5335.12</v>
      </c>
      <c r="F34" s="9" t="str">
        <f t="shared" ref="F34:F65" si="2">C34&amp;"|"&amp;ROUND(E34,2)</f>
        <v>REF-1038|-5335.12</v>
      </c>
      <c r="G34" s="9" t="str">
        <f>IF(COUNTIF(Bank_Statement!$F:$F,F34)&gt;0,"Matched","Unmatched GL Item")</f>
        <v>Unmatched GL Item</v>
      </c>
      <c r="H34" s="21">
        <f t="shared" ref="H34:H65" si="3">IF(G34="Matched",0,E34)</f>
        <v>-5335.12</v>
      </c>
      <c r="I34" s="32">
        <f>IF(G34&lt;&gt;"Matched",COUNTIF($G$2:G34,"&lt;&gt;Matched"),"")</f>
        <v>7</v>
      </c>
    </row>
    <row r="35" spans="1:9">
      <c r="A35" s="8" t="s">
        <v>301</v>
      </c>
      <c r="B35" s="14">
        <v>46153</v>
      </c>
      <c r="C35" s="9" t="s">
        <v>98</v>
      </c>
      <c r="D35" s="9" t="s">
        <v>268</v>
      </c>
      <c r="E35" s="16">
        <v>6928.25</v>
      </c>
      <c r="F35" s="9" t="str">
        <f t="shared" si="2"/>
        <v>REF-1039|6928.25</v>
      </c>
      <c r="G35" s="9" t="str">
        <f>IF(COUNTIF(Bank_Statement!$F:$F,F35)&gt;0,"Matched","Unmatched GL Item")</f>
        <v>Matched</v>
      </c>
      <c r="H35" s="21">
        <f t="shared" si="3"/>
        <v>0</v>
      </c>
      <c r="I35" s="32" t="str">
        <f>IF(G35&lt;&gt;"Matched",COUNTIF($G$2:G35,"&lt;&gt;Matched"),"")</f>
        <v/>
      </c>
    </row>
    <row r="36" spans="1:9">
      <c r="A36" s="8" t="s">
        <v>302</v>
      </c>
      <c r="B36" s="14">
        <v>46143</v>
      </c>
      <c r="C36" s="9" t="s">
        <v>100</v>
      </c>
      <c r="D36" s="9" t="s">
        <v>268</v>
      </c>
      <c r="E36" s="16">
        <v>4083.94</v>
      </c>
      <c r="F36" s="9" t="str">
        <f t="shared" si="2"/>
        <v>REF-1040|4083.94</v>
      </c>
      <c r="G36" s="9" t="str">
        <f>IF(COUNTIF(Bank_Statement!$F:$F,F36)&gt;0,"Matched","Unmatched GL Item")</f>
        <v>Matched</v>
      </c>
      <c r="H36" s="21">
        <f t="shared" si="3"/>
        <v>0</v>
      </c>
      <c r="I36" s="32" t="str">
        <f>IF(G36&lt;&gt;"Matched",COUNTIF($G$2:G36,"&lt;&gt;Matched"),"")</f>
        <v/>
      </c>
    </row>
    <row r="37" spans="1:9">
      <c r="A37" s="8" t="s">
        <v>303</v>
      </c>
      <c r="B37" s="14">
        <v>46144</v>
      </c>
      <c r="C37" s="9" t="s">
        <v>108</v>
      </c>
      <c r="D37" s="9" t="s">
        <v>268</v>
      </c>
      <c r="E37" s="16">
        <v>8108.67</v>
      </c>
      <c r="F37" s="9" t="str">
        <f t="shared" si="2"/>
        <v>REF-1044|8108.67</v>
      </c>
      <c r="G37" s="9" t="str">
        <f>IF(COUNTIF(Bank_Statement!$F:$F,F37)&gt;0,"Matched","Unmatched GL Item")</f>
        <v>Matched</v>
      </c>
      <c r="H37" s="21">
        <f t="shared" si="3"/>
        <v>0</v>
      </c>
      <c r="I37" s="32" t="str">
        <f>IF(G37&lt;&gt;"Matched",COUNTIF($G$2:G37,"&lt;&gt;Matched"),"")</f>
        <v/>
      </c>
    </row>
    <row r="38" spans="1:9">
      <c r="A38" s="8" t="s">
        <v>304</v>
      </c>
      <c r="B38" s="14">
        <v>46166</v>
      </c>
      <c r="C38" s="9" t="s">
        <v>110</v>
      </c>
      <c r="D38" s="9" t="s">
        <v>268</v>
      </c>
      <c r="E38" s="16">
        <v>-7537.68</v>
      </c>
      <c r="F38" s="9" t="str">
        <f t="shared" si="2"/>
        <v>REF-1045|-7537.68</v>
      </c>
      <c r="G38" s="9" t="str">
        <f>IF(COUNTIF(Bank_Statement!$F:$F,F38)&gt;0,"Matched","Unmatched GL Item")</f>
        <v>Matched</v>
      </c>
      <c r="H38" s="21">
        <f t="shared" si="3"/>
        <v>0</v>
      </c>
      <c r="I38" s="32" t="str">
        <f>IF(G38&lt;&gt;"Matched",COUNTIF($G$2:G38,"&lt;&gt;Matched"),"")</f>
        <v/>
      </c>
    </row>
    <row r="39" spans="1:9">
      <c r="A39" s="8" t="s">
        <v>305</v>
      </c>
      <c r="B39" s="14">
        <v>46154</v>
      </c>
      <c r="C39" s="9" t="s">
        <v>112</v>
      </c>
      <c r="D39" s="9" t="s">
        <v>268</v>
      </c>
      <c r="E39" s="16">
        <v>12598.13</v>
      </c>
      <c r="F39" s="9" t="str">
        <f t="shared" si="2"/>
        <v>REF-1046|12598.13</v>
      </c>
      <c r="G39" s="9" t="str">
        <f>IF(COUNTIF(Bank_Statement!$F:$F,F39)&gt;0,"Matched","Unmatched GL Item")</f>
        <v>Matched</v>
      </c>
      <c r="H39" s="21">
        <f t="shared" si="3"/>
        <v>0</v>
      </c>
      <c r="I39" s="32" t="str">
        <f>IF(G39&lt;&gt;"Matched",COUNTIF($G$2:G39,"&lt;&gt;Matched"),"")</f>
        <v/>
      </c>
    </row>
    <row r="40" spans="1:9">
      <c r="A40" s="8" t="s">
        <v>306</v>
      </c>
      <c r="B40" s="14">
        <v>46159</v>
      </c>
      <c r="C40" s="9" t="s">
        <v>114</v>
      </c>
      <c r="D40" s="9" t="s">
        <v>268</v>
      </c>
      <c r="E40" s="16">
        <v>12072.77</v>
      </c>
      <c r="F40" s="9" t="str">
        <f t="shared" si="2"/>
        <v>REF-1047|12072.77</v>
      </c>
      <c r="G40" s="9" t="str">
        <f>IF(COUNTIF(Bank_Statement!$F:$F,F40)&gt;0,"Matched","Unmatched GL Item")</f>
        <v>Matched</v>
      </c>
      <c r="H40" s="21">
        <f t="shared" si="3"/>
        <v>0</v>
      </c>
      <c r="I40" s="32" t="str">
        <f>IF(G40&lt;&gt;"Matched",COUNTIF($G$2:G40,"&lt;&gt;Matched"),"")</f>
        <v/>
      </c>
    </row>
    <row r="41" spans="1:9">
      <c r="A41" s="8" t="s">
        <v>307</v>
      </c>
      <c r="B41" s="14">
        <v>46173</v>
      </c>
      <c r="C41" s="9" t="s">
        <v>116</v>
      </c>
      <c r="D41" s="9" t="s">
        <v>268</v>
      </c>
      <c r="E41" s="16">
        <v>7471.56</v>
      </c>
      <c r="F41" s="9" t="str">
        <f t="shared" si="2"/>
        <v>REF-1048|7471.56</v>
      </c>
      <c r="G41" s="9" t="str">
        <f>IF(COUNTIF(Bank_Statement!$F:$F,F41)&gt;0,"Matched","Unmatched GL Item")</f>
        <v>Matched</v>
      </c>
      <c r="H41" s="21">
        <f t="shared" si="3"/>
        <v>0</v>
      </c>
      <c r="I41" s="32" t="str">
        <f>IF(G41&lt;&gt;"Matched",COUNTIF($G$2:G41,"&lt;&gt;Matched"),"")</f>
        <v/>
      </c>
    </row>
    <row r="42" spans="1:9">
      <c r="A42" s="8" t="s">
        <v>308</v>
      </c>
      <c r="B42" s="14">
        <v>46146</v>
      </c>
      <c r="C42" s="9" t="s">
        <v>118</v>
      </c>
      <c r="D42" s="9" t="s">
        <v>268</v>
      </c>
      <c r="E42" s="16">
        <v>3518.66</v>
      </c>
      <c r="F42" s="9" t="str">
        <f t="shared" si="2"/>
        <v>REF-1049|3518.66</v>
      </c>
      <c r="G42" s="9" t="str">
        <f>IF(COUNTIF(Bank_Statement!$F:$F,F42)&gt;0,"Matched","Unmatched GL Item")</f>
        <v>Unmatched GL Item</v>
      </c>
      <c r="H42" s="21">
        <f t="shared" si="3"/>
        <v>3518.66</v>
      </c>
      <c r="I42" s="32">
        <f>IF(G42&lt;&gt;"Matched",COUNTIF($G$2:G42,"&lt;&gt;Matched"),"")</f>
        <v>8</v>
      </c>
    </row>
    <row r="43" spans="1:9">
      <c r="A43" s="8" t="s">
        <v>309</v>
      </c>
      <c r="B43" s="14">
        <v>46156</v>
      </c>
      <c r="C43" s="9" t="s">
        <v>120</v>
      </c>
      <c r="D43" s="9" t="s">
        <v>268</v>
      </c>
      <c r="E43" s="16">
        <v>7551.65</v>
      </c>
      <c r="F43" s="9" t="str">
        <f t="shared" si="2"/>
        <v>REF-1050|7551.65</v>
      </c>
      <c r="G43" s="9" t="str">
        <f>IF(COUNTIF(Bank_Statement!$F:$F,F43)&gt;0,"Matched","Unmatched GL Item")</f>
        <v>Matched</v>
      </c>
      <c r="H43" s="21">
        <f t="shared" si="3"/>
        <v>0</v>
      </c>
      <c r="I43" s="32" t="str">
        <f>IF(G43&lt;&gt;"Matched",COUNTIF($G$2:G43,"&lt;&gt;Matched"),"")</f>
        <v/>
      </c>
    </row>
    <row r="44" spans="1:9">
      <c r="A44" s="8" t="s">
        <v>310</v>
      </c>
      <c r="B44" s="14">
        <v>46156</v>
      </c>
      <c r="C44" s="9" t="s">
        <v>122</v>
      </c>
      <c r="D44" s="9" t="s">
        <v>268</v>
      </c>
      <c r="E44" s="16">
        <v>371.38</v>
      </c>
      <c r="F44" s="9" t="str">
        <f t="shared" si="2"/>
        <v>REF-1051|371.38</v>
      </c>
      <c r="G44" s="9" t="str">
        <f>IF(COUNTIF(Bank_Statement!$F:$F,F44)&gt;0,"Matched","Unmatched GL Item")</f>
        <v>Matched</v>
      </c>
      <c r="H44" s="21">
        <f t="shared" si="3"/>
        <v>0</v>
      </c>
      <c r="I44" s="32" t="str">
        <f>IF(G44&lt;&gt;"Matched",COUNTIF($G$2:G44,"&lt;&gt;Matched"),"")</f>
        <v/>
      </c>
    </row>
    <row r="45" spans="1:9">
      <c r="A45" s="8" t="s">
        <v>311</v>
      </c>
      <c r="B45" s="14">
        <v>46147</v>
      </c>
      <c r="C45" s="9" t="s">
        <v>124</v>
      </c>
      <c r="D45" s="9" t="s">
        <v>268</v>
      </c>
      <c r="E45" s="16">
        <v>8932.0499999999993</v>
      </c>
      <c r="F45" s="9" t="str">
        <f t="shared" si="2"/>
        <v>REF-1052|8932.05</v>
      </c>
      <c r="G45" s="9" t="str">
        <f>IF(COUNTIF(Bank_Statement!$F:$F,F45)&gt;0,"Matched","Unmatched GL Item")</f>
        <v>Matched</v>
      </c>
      <c r="H45" s="21">
        <f t="shared" si="3"/>
        <v>0</v>
      </c>
      <c r="I45" s="32" t="str">
        <f>IF(G45&lt;&gt;"Matched",COUNTIF($G$2:G45,"&lt;&gt;Matched"),"")</f>
        <v/>
      </c>
    </row>
    <row r="46" spans="1:9">
      <c r="A46" s="8" t="s">
        <v>312</v>
      </c>
      <c r="B46" s="14">
        <v>46149</v>
      </c>
      <c r="C46" s="9" t="s">
        <v>126</v>
      </c>
      <c r="D46" s="9" t="s">
        <v>268</v>
      </c>
      <c r="E46" s="16">
        <v>-6941.29</v>
      </c>
      <c r="F46" s="9" t="str">
        <f t="shared" si="2"/>
        <v>REF-1053|-6941.29</v>
      </c>
      <c r="G46" s="9" t="str">
        <f>IF(COUNTIF(Bank_Statement!$F:$F,F46)&gt;0,"Matched","Unmatched GL Item")</f>
        <v>Unmatched GL Item</v>
      </c>
      <c r="H46" s="21">
        <f t="shared" si="3"/>
        <v>-6941.29</v>
      </c>
      <c r="I46" s="32">
        <f>IF(G46&lt;&gt;"Matched",COUNTIF($G$2:G46,"&lt;&gt;Matched"),"")</f>
        <v>9</v>
      </c>
    </row>
    <row r="47" spans="1:9">
      <c r="A47" s="8" t="s">
        <v>313</v>
      </c>
      <c r="B47" s="14">
        <v>46149</v>
      </c>
      <c r="C47" s="9" t="s">
        <v>128</v>
      </c>
      <c r="D47" s="9" t="s">
        <v>268</v>
      </c>
      <c r="E47" s="16">
        <v>5494.38</v>
      </c>
      <c r="F47" s="9" t="str">
        <f t="shared" si="2"/>
        <v>REF-1054|5494.38</v>
      </c>
      <c r="G47" s="9" t="str">
        <f>IF(COUNTIF(Bank_Statement!$F:$F,F47)&gt;0,"Matched","Unmatched GL Item")</f>
        <v>Matched</v>
      </c>
      <c r="H47" s="21">
        <f t="shared" si="3"/>
        <v>0</v>
      </c>
      <c r="I47" s="32" t="str">
        <f>IF(G47&lt;&gt;"Matched",COUNTIF($G$2:G47,"&lt;&gt;Matched"),"")</f>
        <v/>
      </c>
    </row>
    <row r="48" spans="1:9">
      <c r="A48" s="8" t="s">
        <v>314</v>
      </c>
      <c r="B48" s="14">
        <v>46147</v>
      </c>
      <c r="C48" s="9" t="s">
        <v>130</v>
      </c>
      <c r="D48" s="9" t="s">
        <v>268</v>
      </c>
      <c r="E48" s="16">
        <v>13099.23</v>
      </c>
      <c r="F48" s="9" t="str">
        <f t="shared" si="2"/>
        <v>REF-1055|13099.23</v>
      </c>
      <c r="G48" s="9" t="str">
        <f>IF(COUNTIF(Bank_Statement!$F:$F,F48)&gt;0,"Matched","Unmatched GL Item")</f>
        <v>Matched</v>
      </c>
      <c r="H48" s="21">
        <f t="shared" si="3"/>
        <v>0</v>
      </c>
      <c r="I48" s="32" t="str">
        <f>IF(G48&lt;&gt;"Matched",COUNTIF($G$2:G48,"&lt;&gt;Matched"),"")</f>
        <v/>
      </c>
    </row>
    <row r="49" spans="1:9">
      <c r="A49" s="8" t="s">
        <v>315</v>
      </c>
      <c r="B49" s="14">
        <v>46167</v>
      </c>
      <c r="C49" s="9" t="s">
        <v>132</v>
      </c>
      <c r="D49" s="9" t="s">
        <v>268</v>
      </c>
      <c r="E49" s="16">
        <v>1896.55</v>
      </c>
      <c r="F49" s="9" t="str">
        <f t="shared" si="2"/>
        <v>REF-1056|1896.55</v>
      </c>
      <c r="G49" s="9" t="str">
        <f>IF(COUNTIF(Bank_Statement!$F:$F,F49)&gt;0,"Matched","Unmatched GL Item")</f>
        <v>Matched</v>
      </c>
      <c r="H49" s="21">
        <f t="shared" si="3"/>
        <v>0</v>
      </c>
      <c r="I49" s="32" t="str">
        <f>IF(G49&lt;&gt;"Matched",COUNTIF($G$2:G49,"&lt;&gt;Matched"),"")</f>
        <v/>
      </c>
    </row>
    <row r="50" spans="1:9">
      <c r="A50" s="8" t="s">
        <v>316</v>
      </c>
      <c r="B50" s="14">
        <v>46155</v>
      </c>
      <c r="C50" s="9" t="s">
        <v>134</v>
      </c>
      <c r="D50" s="9" t="s">
        <v>268</v>
      </c>
      <c r="E50" s="16">
        <v>9426.09</v>
      </c>
      <c r="F50" s="9" t="str">
        <f t="shared" si="2"/>
        <v>REF-1057|9426.09</v>
      </c>
      <c r="G50" s="9" t="str">
        <f>IF(COUNTIF(Bank_Statement!$F:$F,F50)&gt;0,"Matched","Unmatched GL Item")</f>
        <v>Matched</v>
      </c>
      <c r="H50" s="21">
        <f t="shared" si="3"/>
        <v>0</v>
      </c>
      <c r="I50" s="32" t="str">
        <f>IF(G50&lt;&gt;"Matched",COUNTIF($G$2:G50,"&lt;&gt;Matched"),"")</f>
        <v/>
      </c>
    </row>
    <row r="51" spans="1:9">
      <c r="A51" s="8" t="s">
        <v>317</v>
      </c>
      <c r="B51" s="14">
        <v>46144</v>
      </c>
      <c r="C51" s="9" t="s">
        <v>136</v>
      </c>
      <c r="D51" s="9" t="s">
        <v>268</v>
      </c>
      <c r="E51" s="16">
        <v>1707.8</v>
      </c>
      <c r="F51" s="9" t="str">
        <f t="shared" si="2"/>
        <v>REF-1058|1707.8</v>
      </c>
      <c r="G51" s="9" t="str">
        <f>IF(COUNTIF(Bank_Statement!$F:$F,F51)&gt;0,"Matched","Unmatched GL Item")</f>
        <v>Matched</v>
      </c>
      <c r="H51" s="21">
        <f t="shared" si="3"/>
        <v>0</v>
      </c>
      <c r="I51" s="32" t="str">
        <f>IF(G51&lt;&gt;"Matched",COUNTIF($G$2:G51,"&lt;&gt;Matched"),"")</f>
        <v/>
      </c>
    </row>
    <row r="52" spans="1:9">
      <c r="A52" s="8" t="s">
        <v>318</v>
      </c>
      <c r="B52" s="14">
        <v>46148</v>
      </c>
      <c r="C52" s="9" t="s">
        <v>138</v>
      </c>
      <c r="D52" s="9" t="s">
        <v>268</v>
      </c>
      <c r="E52" s="16">
        <v>-5130.04</v>
      </c>
      <c r="F52" s="9" t="str">
        <f t="shared" si="2"/>
        <v>REF-1059|-5130.04</v>
      </c>
      <c r="G52" s="9" t="str">
        <f>IF(COUNTIF(Bank_Statement!$F:$F,F52)&gt;0,"Matched","Unmatched GL Item")</f>
        <v>Matched</v>
      </c>
      <c r="H52" s="21">
        <f t="shared" si="3"/>
        <v>0</v>
      </c>
      <c r="I52" s="32" t="str">
        <f>IF(G52&lt;&gt;"Matched",COUNTIF($G$2:G52,"&lt;&gt;Matched"),"")</f>
        <v/>
      </c>
    </row>
    <row r="53" spans="1:9">
      <c r="A53" s="8" t="s">
        <v>319</v>
      </c>
      <c r="B53" s="14">
        <v>46162</v>
      </c>
      <c r="C53" s="9" t="s">
        <v>140</v>
      </c>
      <c r="D53" s="9" t="s">
        <v>268</v>
      </c>
      <c r="E53" s="16">
        <v>-4620.74</v>
      </c>
      <c r="F53" s="9" t="str">
        <f t="shared" si="2"/>
        <v>REF-1060|-4620.74</v>
      </c>
      <c r="G53" s="9" t="str">
        <f>IF(COUNTIF(Bank_Statement!$F:$F,F53)&gt;0,"Matched","Unmatched GL Item")</f>
        <v>Matched</v>
      </c>
      <c r="H53" s="21">
        <f t="shared" si="3"/>
        <v>0</v>
      </c>
      <c r="I53" s="32" t="str">
        <f>IF(G53&lt;&gt;"Matched",COUNTIF($G$2:G53,"&lt;&gt;Matched"),"")</f>
        <v/>
      </c>
    </row>
    <row r="54" spans="1:9">
      <c r="A54" s="8" t="s">
        <v>320</v>
      </c>
      <c r="B54" s="14">
        <v>46171</v>
      </c>
      <c r="C54" s="9" t="s">
        <v>142</v>
      </c>
      <c r="D54" s="9" t="s">
        <v>268</v>
      </c>
      <c r="E54" s="16">
        <v>10456.379999999999</v>
      </c>
      <c r="F54" s="9" t="str">
        <f t="shared" si="2"/>
        <v>REF-1061|10456.38</v>
      </c>
      <c r="G54" s="9" t="str">
        <f>IF(COUNTIF(Bank_Statement!$F:$F,F54)&gt;0,"Matched","Unmatched GL Item")</f>
        <v>Matched</v>
      </c>
      <c r="H54" s="21">
        <f t="shared" si="3"/>
        <v>0</v>
      </c>
      <c r="I54" s="32" t="str">
        <f>IF(G54&lt;&gt;"Matched",COUNTIF($G$2:G54,"&lt;&gt;Matched"),"")</f>
        <v/>
      </c>
    </row>
    <row r="55" spans="1:9">
      <c r="A55" s="8" t="s">
        <v>321</v>
      </c>
      <c r="B55" s="14">
        <v>46156</v>
      </c>
      <c r="C55" s="9" t="s">
        <v>144</v>
      </c>
      <c r="D55" s="9" t="s">
        <v>268</v>
      </c>
      <c r="E55" s="16">
        <v>11600.52</v>
      </c>
      <c r="F55" s="9" t="str">
        <f t="shared" si="2"/>
        <v>REF-1062|11600.52</v>
      </c>
      <c r="G55" s="9" t="str">
        <f>IF(COUNTIF(Bank_Statement!$F:$F,F55)&gt;0,"Matched","Unmatched GL Item")</f>
        <v>Matched</v>
      </c>
      <c r="H55" s="21">
        <f t="shared" si="3"/>
        <v>0</v>
      </c>
      <c r="I55" s="32" t="str">
        <f>IF(G55&lt;&gt;"Matched",COUNTIF($G$2:G55,"&lt;&gt;Matched"),"")</f>
        <v/>
      </c>
    </row>
    <row r="56" spans="1:9">
      <c r="A56" s="8" t="s">
        <v>322</v>
      </c>
      <c r="B56" s="14">
        <v>46154</v>
      </c>
      <c r="C56" s="9" t="s">
        <v>148</v>
      </c>
      <c r="D56" s="9" t="s">
        <v>268</v>
      </c>
      <c r="E56" s="16">
        <v>5381.7</v>
      </c>
      <c r="F56" s="9" t="str">
        <f t="shared" si="2"/>
        <v>REF-1064|5381.7</v>
      </c>
      <c r="G56" s="9" t="str">
        <f>IF(COUNTIF(Bank_Statement!$F:$F,F56)&gt;0,"Matched","Unmatched GL Item")</f>
        <v>Matched</v>
      </c>
      <c r="H56" s="21">
        <f t="shared" si="3"/>
        <v>0</v>
      </c>
      <c r="I56" s="32" t="str">
        <f>IF(G56&lt;&gt;"Matched",COUNTIF($G$2:G56,"&lt;&gt;Matched"),"")</f>
        <v/>
      </c>
    </row>
    <row r="57" spans="1:9">
      <c r="A57" s="8" t="s">
        <v>323</v>
      </c>
      <c r="B57" s="14">
        <v>46169</v>
      </c>
      <c r="C57" s="9" t="s">
        <v>152</v>
      </c>
      <c r="D57" s="9" t="s">
        <v>268</v>
      </c>
      <c r="E57" s="16">
        <v>4371.38</v>
      </c>
      <c r="F57" s="9" t="str">
        <f t="shared" si="2"/>
        <v>REF-1066|4371.38</v>
      </c>
      <c r="G57" s="9" t="str">
        <f>IF(COUNTIF(Bank_Statement!$F:$F,F57)&gt;0,"Matched","Unmatched GL Item")</f>
        <v>Unmatched GL Item</v>
      </c>
      <c r="H57" s="21">
        <f t="shared" si="3"/>
        <v>4371.38</v>
      </c>
      <c r="I57" s="32">
        <f>IF(G57&lt;&gt;"Matched",COUNTIF($G$2:G57,"&lt;&gt;Matched"),"")</f>
        <v>10</v>
      </c>
    </row>
    <row r="58" spans="1:9">
      <c r="A58" s="8" t="s">
        <v>324</v>
      </c>
      <c r="B58" s="14">
        <v>46143</v>
      </c>
      <c r="C58" s="9" t="s">
        <v>154</v>
      </c>
      <c r="D58" s="9" t="s">
        <v>268</v>
      </c>
      <c r="E58" s="16">
        <v>10577.76</v>
      </c>
      <c r="F58" s="9" t="str">
        <f t="shared" si="2"/>
        <v>REF-1067|10577.76</v>
      </c>
      <c r="G58" s="9" t="str">
        <f>IF(COUNTIF(Bank_Statement!$F:$F,F58)&gt;0,"Matched","Unmatched GL Item")</f>
        <v>Matched</v>
      </c>
      <c r="H58" s="21">
        <f t="shared" si="3"/>
        <v>0</v>
      </c>
      <c r="I58" s="32" t="str">
        <f>IF(G58&lt;&gt;"Matched",COUNTIF($G$2:G58,"&lt;&gt;Matched"),"")</f>
        <v/>
      </c>
    </row>
    <row r="59" spans="1:9">
      <c r="A59" s="8" t="s">
        <v>325</v>
      </c>
      <c r="B59" s="14">
        <v>46169</v>
      </c>
      <c r="C59" s="9" t="s">
        <v>156</v>
      </c>
      <c r="D59" s="9" t="s">
        <v>268</v>
      </c>
      <c r="E59" s="16">
        <v>-6384.02</v>
      </c>
      <c r="F59" s="9" t="str">
        <f t="shared" si="2"/>
        <v>REF-1068|-6384.02</v>
      </c>
      <c r="G59" s="9" t="str">
        <f>IF(COUNTIF(Bank_Statement!$F:$F,F59)&gt;0,"Matched","Unmatched GL Item")</f>
        <v>Matched</v>
      </c>
      <c r="H59" s="21">
        <f t="shared" si="3"/>
        <v>0</v>
      </c>
      <c r="I59" s="32" t="str">
        <f>IF(G59&lt;&gt;"Matched",COUNTIF($G$2:G59,"&lt;&gt;Matched"),"")</f>
        <v/>
      </c>
    </row>
    <row r="60" spans="1:9">
      <c r="A60" s="8" t="s">
        <v>326</v>
      </c>
      <c r="B60" s="14">
        <v>46162</v>
      </c>
      <c r="C60" s="9" t="s">
        <v>158</v>
      </c>
      <c r="D60" s="9" t="s">
        <v>268</v>
      </c>
      <c r="E60" s="16">
        <v>-5876.97</v>
      </c>
      <c r="F60" s="9" t="str">
        <f t="shared" si="2"/>
        <v>REF-1069|-5876.97</v>
      </c>
      <c r="G60" s="9" t="str">
        <f>IF(COUNTIF(Bank_Statement!$F:$F,F60)&gt;0,"Matched","Unmatched GL Item")</f>
        <v>Matched</v>
      </c>
      <c r="H60" s="21">
        <f t="shared" si="3"/>
        <v>0</v>
      </c>
      <c r="I60" s="32" t="str">
        <f>IF(G60&lt;&gt;"Matched",COUNTIF($G$2:G60,"&lt;&gt;Matched"),"")</f>
        <v/>
      </c>
    </row>
    <row r="61" spans="1:9">
      <c r="A61" s="8" t="s">
        <v>327</v>
      </c>
      <c r="B61" s="14">
        <v>46155</v>
      </c>
      <c r="C61" s="9" t="s">
        <v>162</v>
      </c>
      <c r="D61" s="9" t="s">
        <v>268</v>
      </c>
      <c r="E61" s="16">
        <v>6689.41</v>
      </c>
      <c r="F61" s="9" t="str">
        <f t="shared" si="2"/>
        <v>REF-1071|6689.41</v>
      </c>
      <c r="G61" s="9" t="str">
        <f>IF(COUNTIF(Bank_Statement!$F:$F,F61)&gt;0,"Matched","Unmatched GL Item")</f>
        <v>Matched</v>
      </c>
      <c r="H61" s="21">
        <f t="shared" si="3"/>
        <v>0</v>
      </c>
      <c r="I61" s="32" t="str">
        <f>IF(G61&lt;&gt;"Matched",COUNTIF($G$2:G61,"&lt;&gt;Matched"),"")</f>
        <v/>
      </c>
    </row>
    <row r="62" spans="1:9">
      <c r="A62" s="8" t="s">
        <v>328</v>
      </c>
      <c r="B62" s="14">
        <v>46168</v>
      </c>
      <c r="C62" s="9" t="s">
        <v>164</v>
      </c>
      <c r="D62" s="9" t="s">
        <v>268</v>
      </c>
      <c r="E62" s="16">
        <v>-3832.13</v>
      </c>
      <c r="F62" s="9" t="str">
        <f t="shared" si="2"/>
        <v>REF-1072|-3832.13</v>
      </c>
      <c r="G62" s="9" t="str">
        <f>IF(COUNTIF(Bank_Statement!$F:$F,F62)&gt;0,"Matched","Unmatched GL Item")</f>
        <v>Unmatched GL Item</v>
      </c>
      <c r="H62" s="21">
        <f t="shared" si="3"/>
        <v>-3832.13</v>
      </c>
      <c r="I62" s="32">
        <f>IF(G62&lt;&gt;"Matched",COUNTIF($G$2:G62,"&lt;&gt;Matched"),"")</f>
        <v>11</v>
      </c>
    </row>
    <row r="63" spans="1:9">
      <c r="A63" s="8" t="s">
        <v>329</v>
      </c>
      <c r="B63" s="14">
        <v>46169</v>
      </c>
      <c r="C63" s="9" t="s">
        <v>168</v>
      </c>
      <c r="D63" s="9" t="s">
        <v>268</v>
      </c>
      <c r="E63" s="16">
        <v>-4753.34</v>
      </c>
      <c r="F63" s="9" t="str">
        <f t="shared" si="2"/>
        <v>REF-1074|-4753.34</v>
      </c>
      <c r="G63" s="9" t="str">
        <f>IF(COUNTIF(Bank_Statement!$F:$F,F63)&gt;0,"Matched","Unmatched GL Item")</f>
        <v>Matched</v>
      </c>
      <c r="H63" s="21">
        <f t="shared" si="3"/>
        <v>0</v>
      </c>
      <c r="I63" s="32" t="str">
        <f>IF(G63&lt;&gt;"Matched",COUNTIF($G$2:G63,"&lt;&gt;Matched"),"")</f>
        <v/>
      </c>
    </row>
    <row r="64" spans="1:9">
      <c r="A64" s="8" t="s">
        <v>330</v>
      </c>
      <c r="B64" s="14">
        <v>46157</v>
      </c>
      <c r="C64" s="9" t="s">
        <v>170</v>
      </c>
      <c r="D64" s="9" t="s">
        <v>268</v>
      </c>
      <c r="E64" s="16">
        <v>-6344.22</v>
      </c>
      <c r="F64" s="9" t="str">
        <f t="shared" si="2"/>
        <v>REF-1075|-6344.22</v>
      </c>
      <c r="G64" s="9" t="str">
        <f>IF(COUNTIF(Bank_Statement!$F:$F,F64)&gt;0,"Matched","Unmatched GL Item")</f>
        <v>Matched</v>
      </c>
      <c r="H64" s="21">
        <f t="shared" si="3"/>
        <v>0</v>
      </c>
      <c r="I64" s="32" t="str">
        <f>IF(G64&lt;&gt;"Matched",COUNTIF($G$2:G64,"&lt;&gt;Matched"),"")</f>
        <v/>
      </c>
    </row>
    <row r="65" spans="1:9">
      <c r="A65" s="8" t="s">
        <v>331</v>
      </c>
      <c r="B65" s="14">
        <v>46151</v>
      </c>
      <c r="C65" s="9" t="s">
        <v>172</v>
      </c>
      <c r="D65" s="9" t="s">
        <v>268</v>
      </c>
      <c r="E65" s="16">
        <v>8975.92</v>
      </c>
      <c r="F65" s="9" t="str">
        <f t="shared" si="2"/>
        <v>REF-1076|8975.92</v>
      </c>
      <c r="G65" s="9" t="str">
        <f>IF(COUNTIF(Bank_Statement!$F:$F,F65)&gt;0,"Matched","Unmatched GL Item")</f>
        <v>Matched</v>
      </c>
      <c r="H65" s="21">
        <f t="shared" si="3"/>
        <v>0</v>
      </c>
      <c r="I65" s="32" t="str">
        <f>IF(G65&lt;&gt;"Matched",COUNTIF($G$2:G65,"&lt;&gt;Matched"),"")</f>
        <v/>
      </c>
    </row>
    <row r="66" spans="1:9">
      <c r="A66" s="8" t="s">
        <v>332</v>
      </c>
      <c r="B66" s="14">
        <v>46158</v>
      </c>
      <c r="C66" s="9" t="s">
        <v>174</v>
      </c>
      <c r="D66" s="9" t="s">
        <v>268</v>
      </c>
      <c r="E66" s="16">
        <v>-3001.39</v>
      </c>
      <c r="F66" s="9" t="str">
        <f t="shared" ref="F66:F97" si="4">C66&amp;"|"&amp;ROUND(E66,2)</f>
        <v>REF-1077|-3001.39</v>
      </c>
      <c r="G66" s="9" t="str">
        <f>IF(COUNTIF(Bank_Statement!$F:$F,F66)&gt;0,"Matched","Unmatched GL Item")</f>
        <v>Unmatched GL Item</v>
      </c>
      <c r="H66" s="21">
        <f t="shared" ref="H66:H97" si="5">IF(G66="Matched",0,E66)</f>
        <v>-3001.39</v>
      </c>
      <c r="I66" s="32">
        <f>IF(G66&lt;&gt;"Matched",COUNTIF($G$2:G66,"&lt;&gt;Matched"),"")</f>
        <v>12</v>
      </c>
    </row>
    <row r="67" spans="1:9">
      <c r="A67" s="8" t="s">
        <v>333</v>
      </c>
      <c r="B67" s="14">
        <v>46151</v>
      </c>
      <c r="C67" s="9" t="s">
        <v>176</v>
      </c>
      <c r="D67" s="9" t="s">
        <v>268</v>
      </c>
      <c r="E67" s="16">
        <v>10839.3</v>
      </c>
      <c r="F67" s="9" t="str">
        <f t="shared" si="4"/>
        <v>REF-1078|10839.3</v>
      </c>
      <c r="G67" s="9" t="str">
        <f>IF(COUNTIF(Bank_Statement!$F:$F,F67)&gt;0,"Matched","Unmatched GL Item")</f>
        <v>Matched</v>
      </c>
      <c r="H67" s="21">
        <f t="shared" si="5"/>
        <v>0</v>
      </c>
      <c r="I67" s="32" t="str">
        <f>IF(G67&lt;&gt;"Matched",COUNTIF($G$2:G67,"&lt;&gt;Matched"),"")</f>
        <v/>
      </c>
    </row>
    <row r="68" spans="1:9">
      <c r="A68" s="8" t="s">
        <v>334</v>
      </c>
      <c r="B68" s="14">
        <v>46170</v>
      </c>
      <c r="C68" s="9" t="s">
        <v>178</v>
      </c>
      <c r="D68" s="9" t="s">
        <v>268</v>
      </c>
      <c r="E68" s="16">
        <v>2344.6</v>
      </c>
      <c r="F68" s="9" t="str">
        <f t="shared" si="4"/>
        <v>REF-1079|2344.6</v>
      </c>
      <c r="G68" s="9" t="str">
        <f>IF(COUNTIF(Bank_Statement!$F:$F,F68)&gt;0,"Matched","Unmatched GL Item")</f>
        <v>Unmatched GL Item</v>
      </c>
      <c r="H68" s="21">
        <f t="shared" si="5"/>
        <v>2344.6</v>
      </c>
      <c r="I68" s="32">
        <f>IF(G68&lt;&gt;"Matched",COUNTIF($G$2:G68,"&lt;&gt;Matched"),"")</f>
        <v>13</v>
      </c>
    </row>
    <row r="69" spans="1:9">
      <c r="A69" s="8" t="s">
        <v>335</v>
      </c>
      <c r="B69" s="14">
        <v>46169</v>
      </c>
      <c r="C69" s="9" t="s">
        <v>182</v>
      </c>
      <c r="D69" s="9" t="s">
        <v>268</v>
      </c>
      <c r="E69" s="16">
        <v>4034.71</v>
      </c>
      <c r="F69" s="9" t="str">
        <f t="shared" si="4"/>
        <v>REF-1081|4034.71</v>
      </c>
      <c r="G69" s="9" t="str">
        <f>IF(COUNTIF(Bank_Statement!$F:$F,F69)&gt;0,"Matched","Unmatched GL Item")</f>
        <v>Unmatched GL Item</v>
      </c>
      <c r="H69" s="21">
        <f t="shared" si="5"/>
        <v>4034.71</v>
      </c>
      <c r="I69" s="32">
        <f>IF(G69&lt;&gt;"Matched",COUNTIF($G$2:G69,"&lt;&gt;Matched"),"")</f>
        <v>14</v>
      </c>
    </row>
    <row r="70" spans="1:9">
      <c r="A70" s="8" t="s">
        <v>336</v>
      </c>
      <c r="B70" s="14">
        <v>46144</v>
      </c>
      <c r="C70" s="9" t="s">
        <v>186</v>
      </c>
      <c r="D70" s="9" t="s">
        <v>268</v>
      </c>
      <c r="E70" s="16">
        <v>11212.67</v>
      </c>
      <c r="F70" s="9" t="str">
        <f t="shared" si="4"/>
        <v>REF-1083|11212.67</v>
      </c>
      <c r="G70" s="9" t="str">
        <f>IF(COUNTIF(Bank_Statement!$F:$F,F70)&gt;0,"Matched","Unmatched GL Item")</f>
        <v>Matched</v>
      </c>
      <c r="H70" s="21">
        <f t="shared" si="5"/>
        <v>0</v>
      </c>
      <c r="I70" s="32" t="str">
        <f>IF(G70&lt;&gt;"Matched",COUNTIF($G$2:G70,"&lt;&gt;Matched"),"")</f>
        <v/>
      </c>
    </row>
    <row r="71" spans="1:9">
      <c r="A71" s="8" t="s">
        <v>337</v>
      </c>
      <c r="B71" s="14">
        <v>46172</v>
      </c>
      <c r="C71" s="9" t="s">
        <v>188</v>
      </c>
      <c r="D71" s="9" t="s">
        <v>268</v>
      </c>
      <c r="E71" s="16">
        <v>-6268.32</v>
      </c>
      <c r="F71" s="9" t="str">
        <f t="shared" si="4"/>
        <v>REF-1084|-6268.32</v>
      </c>
      <c r="G71" s="9" t="str">
        <f>IF(COUNTIF(Bank_Statement!$F:$F,F71)&gt;0,"Matched","Unmatched GL Item")</f>
        <v>Unmatched GL Item</v>
      </c>
      <c r="H71" s="21">
        <f t="shared" si="5"/>
        <v>-6268.32</v>
      </c>
      <c r="I71" s="32">
        <f>IF(G71&lt;&gt;"Matched",COUNTIF($G$2:G71,"&lt;&gt;Matched"),"")</f>
        <v>15</v>
      </c>
    </row>
    <row r="72" spans="1:9">
      <c r="A72" s="8" t="s">
        <v>338</v>
      </c>
      <c r="B72" s="14">
        <v>46164</v>
      </c>
      <c r="C72" s="9" t="s">
        <v>190</v>
      </c>
      <c r="D72" s="9" t="s">
        <v>268</v>
      </c>
      <c r="E72" s="16">
        <v>14740.4</v>
      </c>
      <c r="F72" s="9" t="str">
        <f t="shared" si="4"/>
        <v>REF-1085|14740.4</v>
      </c>
      <c r="G72" s="9" t="str">
        <f>IF(COUNTIF(Bank_Statement!$F:$F,F72)&gt;0,"Matched","Unmatched GL Item")</f>
        <v>Matched</v>
      </c>
      <c r="H72" s="21">
        <f t="shared" si="5"/>
        <v>0</v>
      </c>
      <c r="I72" s="32" t="str">
        <f>IF(G72&lt;&gt;"Matched",COUNTIF($G$2:G72,"&lt;&gt;Matched"),"")</f>
        <v/>
      </c>
    </row>
    <row r="73" spans="1:9">
      <c r="A73" s="8" t="s">
        <v>339</v>
      </c>
      <c r="B73" s="14">
        <v>46154</v>
      </c>
      <c r="C73" s="9" t="s">
        <v>192</v>
      </c>
      <c r="D73" s="9" t="s">
        <v>268</v>
      </c>
      <c r="E73" s="16">
        <v>-7699.16</v>
      </c>
      <c r="F73" s="9" t="str">
        <f t="shared" si="4"/>
        <v>REF-1086|-7699.16</v>
      </c>
      <c r="G73" s="9" t="str">
        <f>IF(COUNTIF(Bank_Statement!$F:$F,F73)&gt;0,"Matched","Unmatched GL Item")</f>
        <v>Matched</v>
      </c>
      <c r="H73" s="21">
        <f t="shared" si="5"/>
        <v>0</v>
      </c>
      <c r="I73" s="32" t="str">
        <f>IF(G73&lt;&gt;"Matched",COUNTIF($G$2:G73,"&lt;&gt;Matched"),"")</f>
        <v/>
      </c>
    </row>
    <row r="74" spans="1:9">
      <c r="A74" s="8" t="s">
        <v>340</v>
      </c>
      <c r="B74" s="14">
        <v>46151</v>
      </c>
      <c r="C74" s="9" t="s">
        <v>196</v>
      </c>
      <c r="D74" s="9" t="s">
        <v>268</v>
      </c>
      <c r="E74" s="16">
        <v>6492.88</v>
      </c>
      <c r="F74" s="9" t="str">
        <f t="shared" si="4"/>
        <v>REF-1088|6492.88</v>
      </c>
      <c r="G74" s="9" t="str">
        <f>IF(COUNTIF(Bank_Statement!$F:$F,F74)&gt;0,"Matched","Unmatched GL Item")</f>
        <v>Unmatched GL Item</v>
      </c>
      <c r="H74" s="21">
        <f t="shared" si="5"/>
        <v>6492.88</v>
      </c>
      <c r="I74" s="32">
        <f>IF(G74&lt;&gt;"Matched",COUNTIF($G$2:G74,"&lt;&gt;Matched"),"")</f>
        <v>16</v>
      </c>
    </row>
    <row r="75" spans="1:9">
      <c r="A75" s="8" t="s">
        <v>341</v>
      </c>
      <c r="B75" s="14">
        <v>46165</v>
      </c>
      <c r="C75" s="9" t="s">
        <v>198</v>
      </c>
      <c r="D75" s="9" t="s">
        <v>268</v>
      </c>
      <c r="E75" s="16">
        <v>1161.47</v>
      </c>
      <c r="F75" s="9" t="str">
        <f t="shared" si="4"/>
        <v>REF-1089|1161.47</v>
      </c>
      <c r="G75" s="9" t="str">
        <f>IF(COUNTIF(Bank_Statement!$F:$F,F75)&gt;0,"Matched","Unmatched GL Item")</f>
        <v>Unmatched GL Item</v>
      </c>
      <c r="H75" s="21">
        <f t="shared" si="5"/>
        <v>1161.47</v>
      </c>
      <c r="I75" s="32">
        <f>IF(G75&lt;&gt;"Matched",COUNTIF($G$2:G75,"&lt;&gt;Matched"),"")</f>
        <v>17</v>
      </c>
    </row>
    <row r="76" spans="1:9">
      <c r="A76" s="8" t="s">
        <v>342</v>
      </c>
      <c r="B76" s="14">
        <v>46162</v>
      </c>
      <c r="C76" s="9" t="s">
        <v>200</v>
      </c>
      <c r="D76" s="9" t="s">
        <v>268</v>
      </c>
      <c r="E76" s="16">
        <v>650.74</v>
      </c>
      <c r="F76" s="9" t="str">
        <f t="shared" si="4"/>
        <v>REF-1090|650.74</v>
      </c>
      <c r="G76" s="9" t="str">
        <f>IF(COUNTIF(Bank_Statement!$F:$F,F76)&gt;0,"Matched","Unmatched GL Item")</f>
        <v>Matched</v>
      </c>
      <c r="H76" s="21">
        <f t="shared" si="5"/>
        <v>0</v>
      </c>
      <c r="I76" s="32" t="str">
        <f>IF(G76&lt;&gt;"Matched",COUNTIF($G$2:G76,"&lt;&gt;Matched"),"")</f>
        <v/>
      </c>
    </row>
    <row r="77" spans="1:9">
      <c r="A77" s="8" t="s">
        <v>343</v>
      </c>
      <c r="B77" s="14">
        <v>46147</v>
      </c>
      <c r="C77" s="9" t="s">
        <v>202</v>
      </c>
      <c r="D77" s="9" t="s">
        <v>268</v>
      </c>
      <c r="E77" s="16">
        <v>266.95</v>
      </c>
      <c r="F77" s="9" t="str">
        <f t="shared" si="4"/>
        <v>REF-1091|266.95</v>
      </c>
      <c r="G77" s="9" t="str">
        <f>IF(COUNTIF(Bank_Statement!$F:$F,F77)&gt;0,"Matched","Unmatched GL Item")</f>
        <v>Matched</v>
      </c>
      <c r="H77" s="21">
        <f t="shared" si="5"/>
        <v>0</v>
      </c>
      <c r="I77" s="32" t="str">
        <f>IF(G77&lt;&gt;"Matched",COUNTIF($G$2:G77,"&lt;&gt;Matched"),"")</f>
        <v/>
      </c>
    </row>
    <row r="78" spans="1:9">
      <c r="A78" s="8" t="s">
        <v>344</v>
      </c>
      <c r="B78" s="14">
        <v>46144</v>
      </c>
      <c r="C78" s="9" t="s">
        <v>204</v>
      </c>
      <c r="D78" s="9" t="s">
        <v>268</v>
      </c>
      <c r="E78" s="16">
        <v>7536</v>
      </c>
      <c r="F78" s="9" t="str">
        <f t="shared" si="4"/>
        <v>REF-1092|7536</v>
      </c>
      <c r="G78" s="9" t="str">
        <f>IF(COUNTIF(Bank_Statement!$F:$F,F78)&gt;0,"Matched","Unmatched GL Item")</f>
        <v>Matched</v>
      </c>
      <c r="H78" s="21">
        <f t="shared" si="5"/>
        <v>0</v>
      </c>
      <c r="I78" s="32" t="str">
        <f>IF(G78&lt;&gt;"Matched",COUNTIF($G$2:G78,"&lt;&gt;Matched"),"")</f>
        <v/>
      </c>
    </row>
    <row r="79" spans="1:9">
      <c r="A79" s="8" t="s">
        <v>345</v>
      </c>
      <c r="B79" s="14">
        <v>46160</v>
      </c>
      <c r="C79" s="9" t="s">
        <v>208</v>
      </c>
      <c r="D79" s="9" t="s">
        <v>268</v>
      </c>
      <c r="E79" s="16">
        <v>10810.73</v>
      </c>
      <c r="F79" s="9" t="str">
        <f t="shared" si="4"/>
        <v>REF-1094|10810.73</v>
      </c>
      <c r="G79" s="9" t="str">
        <f>IF(COUNTIF(Bank_Statement!$F:$F,F79)&gt;0,"Matched","Unmatched GL Item")</f>
        <v>Unmatched GL Item</v>
      </c>
      <c r="H79" s="21">
        <f t="shared" si="5"/>
        <v>10810.73</v>
      </c>
      <c r="I79" s="32">
        <f>IF(G79&lt;&gt;"Matched",COUNTIF($G$2:G79,"&lt;&gt;Matched"),"")</f>
        <v>18</v>
      </c>
    </row>
    <row r="80" spans="1:9">
      <c r="A80" s="8" t="s">
        <v>346</v>
      </c>
      <c r="B80" s="14">
        <v>46148</v>
      </c>
      <c r="C80" s="9" t="s">
        <v>210</v>
      </c>
      <c r="D80" s="9" t="s">
        <v>268</v>
      </c>
      <c r="E80" s="16">
        <v>7093.79</v>
      </c>
      <c r="F80" s="9" t="str">
        <f t="shared" si="4"/>
        <v>REF-1095|7093.79</v>
      </c>
      <c r="G80" s="9" t="str">
        <f>IF(COUNTIF(Bank_Statement!$F:$F,F80)&gt;0,"Matched","Unmatched GL Item")</f>
        <v>Matched</v>
      </c>
      <c r="H80" s="21">
        <f t="shared" si="5"/>
        <v>0</v>
      </c>
      <c r="I80" s="32" t="str">
        <f>IF(G80&lt;&gt;"Matched",COUNTIF($G$2:G80,"&lt;&gt;Matched"),"")</f>
        <v/>
      </c>
    </row>
    <row r="81" spans="1:9">
      <c r="A81" s="8" t="s">
        <v>347</v>
      </c>
      <c r="B81" s="14">
        <v>46151</v>
      </c>
      <c r="C81" s="9" t="s">
        <v>212</v>
      </c>
      <c r="D81" s="9" t="s">
        <v>268</v>
      </c>
      <c r="E81" s="16">
        <v>1955.68</v>
      </c>
      <c r="F81" s="9" t="str">
        <f t="shared" si="4"/>
        <v>REF-1096|1955.68</v>
      </c>
      <c r="G81" s="9" t="str">
        <f>IF(COUNTIF(Bank_Statement!$F:$F,F81)&gt;0,"Matched","Unmatched GL Item")</f>
        <v>Matched</v>
      </c>
      <c r="H81" s="21">
        <f t="shared" si="5"/>
        <v>0</v>
      </c>
      <c r="I81" s="32" t="str">
        <f>IF(G81&lt;&gt;"Matched",COUNTIF($G$2:G81,"&lt;&gt;Matched"),"")</f>
        <v/>
      </c>
    </row>
    <row r="82" spans="1:9">
      <c r="A82" s="8" t="s">
        <v>348</v>
      </c>
      <c r="B82" s="14">
        <v>46145</v>
      </c>
      <c r="C82" s="9" t="s">
        <v>214</v>
      </c>
      <c r="D82" s="9" t="s">
        <v>268</v>
      </c>
      <c r="E82" s="16">
        <v>-1085.74</v>
      </c>
      <c r="F82" s="9" t="str">
        <f t="shared" si="4"/>
        <v>REF-1097|-1085.74</v>
      </c>
      <c r="G82" s="9" t="str">
        <f>IF(COUNTIF(Bank_Statement!$F:$F,F82)&gt;0,"Matched","Unmatched GL Item")</f>
        <v>Matched</v>
      </c>
      <c r="H82" s="21">
        <f t="shared" si="5"/>
        <v>0</v>
      </c>
      <c r="I82" s="32" t="str">
        <f>IF(G82&lt;&gt;"Matched",COUNTIF($G$2:G82,"&lt;&gt;Matched"),"")</f>
        <v/>
      </c>
    </row>
    <row r="83" spans="1:9">
      <c r="A83" s="8" t="s">
        <v>349</v>
      </c>
      <c r="B83" s="14">
        <v>46161</v>
      </c>
      <c r="C83" s="9" t="s">
        <v>216</v>
      </c>
      <c r="D83" s="9" t="s">
        <v>268</v>
      </c>
      <c r="E83" s="16">
        <v>10259.120000000001</v>
      </c>
      <c r="F83" s="9" t="str">
        <f t="shared" si="4"/>
        <v>REF-1098|10259.12</v>
      </c>
      <c r="G83" s="9" t="str">
        <f>IF(COUNTIF(Bank_Statement!$F:$F,F83)&gt;0,"Matched","Unmatched GL Item")</f>
        <v>Matched</v>
      </c>
      <c r="H83" s="21">
        <f t="shared" si="5"/>
        <v>0</v>
      </c>
      <c r="I83" s="32" t="str">
        <f>IF(G83&lt;&gt;"Matched",COUNTIF($G$2:G83,"&lt;&gt;Matched"),"")</f>
        <v/>
      </c>
    </row>
    <row r="84" spans="1:9">
      <c r="A84" s="8" t="s">
        <v>350</v>
      </c>
      <c r="B84" s="14">
        <v>46155</v>
      </c>
      <c r="C84" s="9" t="s">
        <v>218</v>
      </c>
      <c r="D84" s="9" t="s">
        <v>268</v>
      </c>
      <c r="E84" s="16">
        <v>-4292.6899999999996</v>
      </c>
      <c r="F84" s="9" t="str">
        <f t="shared" si="4"/>
        <v>REF-1099|-4292.69</v>
      </c>
      <c r="G84" s="9" t="str">
        <f>IF(COUNTIF(Bank_Statement!$F:$F,F84)&gt;0,"Matched","Unmatched GL Item")</f>
        <v>Matched</v>
      </c>
      <c r="H84" s="21">
        <f t="shared" si="5"/>
        <v>0</v>
      </c>
      <c r="I84" s="32" t="str">
        <f>IF(G84&lt;&gt;"Matched",COUNTIF($G$2:G84,"&lt;&gt;Matched"),"")</f>
        <v/>
      </c>
    </row>
    <row r="85" spans="1:9">
      <c r="A85" s="8" t="s">
        <v>351</v>
      </c>
      <c r="B85" s="14">
        <v>46143</v>
      </c>
      <c r="C85" s="9" t="s">
        <v>220</v>
      </c>
      <c r="D85" s="9" t="s">
        <v>268</v>
      </c>
      <c r="E85" s="16">
        <v>13673.86</v>
      </c>
      <c r="F85" s="9" t="str">
        <f t="shared" si="4"/>
        <v>REF-1100|13673.86</v>
      </c>
      <c r="G85" s="9" t="str">
        <f>IF(COUNTIF(Bank_Statement!$F:$F,F85)&gt;0,"Matched","Unmatched GL Item")</f>
        <v>Unmatched GL Item</v>
      </c>
      <c r="H85" s="21">
        <f t="shared" si="5"/>
        <v>13673.86</v>
      </c>
      <c r="I85" s="32">
        <f>IF(G85&lt;&gt;"Matched",COUNTIF($G$2:G85,"&lt;&gt;Matched"),"")</f>
        <v>19</v>
      </c>
    </row>
    <row r="86" spans="1:9">
      <c r="A86" s="8" t="s">
        <v>352</v>
      </c>
      <c r="B86" s="14">
        <v>46172</v>
      </c>
      <c r="C86" s="9" t="s">
        <v>222</v>
      </c>
      <c r="D86" s="9" t="s">
        <v>268</v>
      </c>
      <c r="E86" s="16">
        <v>13782.57</v>
      </c>
      <c r="F86" s="9" t="str">
        <f t="shared" si="4"/>
        <v>REF-1101|13782.57</v>
      </c>
      <c r="G86" s="9" t="str">
        <f>IF(COUNTIF(Bank_Statement!$F:$F,F86)&gt;0,"Matched","Unmatched GL Item")</f>
        <v>Matched</v>
      </c>
      <c r="H86" s="21">
        <f t="shared" si="5"/>
        <v>0</v>
      </c>
      <c r="I86" s="32" t="str">
        <f>IF(G86&lt;&gt;"Matched",COUNTIF($G$2:G86,"&lt;&gt;Matched"),"")</f>
        <v/>
      </c>
    </row>
    <row r="87" spans="1:9">
      <c r="A87" s="8" t="s">
        <v>353</v>
      </c>
      <c r="B87" s="14">
        <v>46155</v>
      </c>
      <c r="C87" s="9" t="s">
        <v>224</v>
      </c>
      <c r="D87" s="9" t="s">
        <v>268</v>
      </c>
      <c r="E87" s="16">
        <v>-5107.28</v>
      </c>
      <c r="F87" s="9" t="str">
        <f t="shared" si="4"/>
        <v>REF-1102|-5107.28</v>
      </c>
      <c r="G87" s="9" t="str">
        <f>IF(COUNTIF(Bank_Statement!$F:$F,F87)&gt;0,"Matched","Unmatched GL Item")</f>
        <v>Matched</v>
      </c>
      <c r="H87" s="21">
        <f t="shared" si="5"/>
        <v>0</v>
      </c>
      <c r="I87" s="32" t="str">
        <f>IF(G87&lt;&gt;"Matched",COUNTIF($G$2:G87,"&lt;&gt;Matched"),"")</f>
        <v/>
      </c>
    </row>
    <row r="88" spans="1:9">
      <c r="A88" s="8" t="s">
        <v>354</v>
      </c>
      <c r="B88" s="14">
        <v>46158</v>
      </c>
      <c r="C88" s="9" t="s">
        <v>228</v>
      </c>
      <c r="D88" s="9" t="s">
        <v>268</v>
      </c>
      <c r="E88" s="16">
        <v>13107.43</v>
      </c>
      <c r="F88" s="9" t="str">
        <f t="shared" si="4"/>
        <v>REF-1104|13107.43</v>
      </c>
      <c r="G88" s="9" t="str">
        <f>IF(COUNTIF(Bank_Statement!$F:$F,F88)&gt;0,"Matched","Unmatched GL Item")</f>
        <v>Matched</v>
      </c>
      <c r="H88" s="21">
        <f t="shared" si="5"/>
        <v>0</v>
      </c>
      <c r="I88" s="32" t="str">
        <f>IF(G88&lt;&gt;"Matched",COUNTIF($G$2:G88,"&lt;&gt;Matched"),"")</f>
        <v/>
      </c>
    </row>
    <row r="89" spans="1:9">
      <c r="A89" s="8" t="s">
        <v>355</v>
      </c>
      <c r="B89" s="14">
        <v>46172</v>
      </c>
      <c r="C89" s="9" t="s">
        <v>230</v>
      </c>
      <c r="D89" s="9" t="s">
        <v>268</v>
      </c>
      <c r="E89" s="16">
        <v>4067.12</v>
      </c>
      <c r="F89" s="9" t="str">
        <f t="shared" si="4"/>
        <v>REF-1105|4067.12</v>
      </c>
      <c r="G89" s="9" t="str">
        <f>IF(COUNTIF(Bank_Statement!$F:$F,F89)&gt;0,"Matched","Unmatched GL Item")</f>
        <v>Matched</v>
      </c>
      <c r="H89" s="21">
        <f t="shared" si="5"/>
        <v>0</v>
      </c>
      <c r="I89" s="32" t="str">
        <f>IF(G89&lt;&gt;"Matched",COUNTIF($G$2:G89,"&lt;&gt;Matched"),"")</f>
        <v/>
      </c>
    </row>
    <row r="90" spans="1:9">
      <c r="A90" s="8" t="s">
        <v>356</v>
      </c>
      <c r="B90" s="14">
        <v>46163</v>
      </c>
      <c r="C90" s="9" t="s">
        <v>232</v>
      </c>
      <c r="D90" s="9" t="s">
        <v>268</v>
      </c>
      <c r="E90" s="16">
        <v>14508.88</v>
      </c>
      <c r="F90" s="9" t="str">
        <f t="shared" si="4"/>
        <v>REF-1106|14508.88</v>
      </c>
      <c r="G90" s="9" t="str">
        <f>IF(COUNTIF(Bank_Statement!$F:$F,F90)&gt;0,"Matched","Unmatched GL Item")</f>
        <v>Matched</v>
      </c>
      <c r="H90" s="21">
        <f t="shared" si="5"/>
        <v>0</v>
      </c>
      <c r="I90" s="32" t="str">
        <f>IF(G90&lt;&gt;"Matched",COUNTIF($G$2:G90,"&lt;&gt;Matched"),"")</f>
        <v/>
      </c>
    </row>
    <row r="91" spans="1:9">
      <c r="A91" s="8" t="s">
        <v>357</v>
      </c>
      <c r="B91" s="14">
        <v>46143</v>
      </c>
      <c r="C91" s="9" t="s">
        <v>234</v>
      </c>
      <c r="D91" s="9" t="s">
        <v>268</v>
      </c>
      <c r="E91" s="16">
        <v>10609.32</v>
      </c>
      <c r="F91" s="9" t="str">
        <f t="shared" si="4"/>
        <v>REF-1107|10609.32</v>
      </c>
      <c r="G91" s="9" t="str">
        <f>IF(COUNTIF(Bank_Statement!$F:$F,F91)&gt;0,"Matched","Unmatched GL Item")</f>
        <v>Matched</v>
      </c>
      <c r="H91" s="21">
        <f t="shared" si="5"/>
        <v>0</v>
      </c>
      <c r="I91" s="32" t="str">
        <f>IF(G91&lt;&gt;"Matched",COUNTIF($G$2:G91,"&lt;&gt;Matched"),"")</f>
        <v/>
      </c>
    </row>
    <row r="92" spans="1:9">
      <c r="A92" s="8" t="s">
        <v>358</v>
      </c>
      <c r="B92" s="14">
        <v>46153</v>
      </c>
      <c r="C92" s="9" t="s">
        <v>236</v>
      </c>
      <c r="D92" s="9" t="s">
        <v>268</v>
      </c>
      <c r="E92" s="16">
        <v>7994.32</v>
      </c>
      <c r="F92" s="9" t="str">
        <f t="shared" si="4"/>
        <v>REF-1108|7994.32</v>
      </c>
      <c r="G92" s="9" t="str">
        <f>IF(COUNTIF(Bank_Statement!$F:$F,F92)&gt;0,"Matched","Unmatched GL Item")</f>
        <v>Matched</v>
      </c>
      <c r="H92" s="21">
        <f t="shared" si="5"/>
        <v>0</v>
      </c>
      <c r="I92" s="32" t="str">
        <f>IF(G92&lt;&gt;"Matched",COUNTIF($G$2:G92,"&lt;&gt;Matched"),"")</f>
        <v/>
      </c>
    </row>
    <row r="93" spans="1:9">
      <c r="A93" s="8" t="s">
        <v>359</v>
      </c>
      <c r="B93" s="14">
        <v>46150</v>
      </c>
      <c r="C93" s="9" t="s">
        <v>238</v>
      </c>
      <c r="D93" s="9" t="s">
        <v>268</v>
      </c>
      <c r="E93" s="16">
        <v>2484.42</v>
      </c>
      <c r="F93" s="9" t="str">
        <f t="shared" si="4"/>
        <v>REF-1109|2484.42</v>
      </c>
      <c r="G93" s="9" t="str">
        <f>IF(COUNTIF(Bank_Statement!$F:$F,F93)&gt;0,"Matched","Unmatched GL Item")</f>
        <v>Matched</v>
      </c>
      <c r="H93" s="21">
        <f t="shared" si="5"/>
        <v>0</v>
      </c>
      <c r="I93" s="32" t="str">
        <f>IF(G93&lt;&gt;"Matched",COUNTIF($G$2:G93,"&lt;&gt;Matched"),"")</f>
        <v/>
      </c>
    </row>
    <row r="94" spans="1:9">
      <c r="A94" s="8" t="s">
        <v>360</v>
      </c>
      <c r="B94" s="14">
        <v>46147</v>
      </c>
      <c r="C94" s="9" t="s">
        <v>240</v>
      </c>
      <c r="D94" s="9" t="s">
        <v>268</v>
      </c>
      <c r="E94" s="16">
        <v>9410.76</v>
      </c>
      <c r="F94" s="9" t="str">
        <f t="shared" si="4"/>
        <v>REF-1110|9410.76</v>
      </c>
      <c r="G94" s="9" t="str">
        <f>IF(COUNTIF(Bank_Statement!$F:$F,F94)&gt;0,"Matched","Unmatched GL Item")</f>
        <v>Unmatched GL Item</v>
      </c>
      <c r="H94" s="21">
        <f t="shared" si="5"/>
        <v>9410.76</v>
      </c>
      <c r="I94" s="32">
        <f>IF(G94&lt;&gt;"Matched",COUNTIF($G$2:G94,"&lt;&gt;Matched"),"")</f>
        <v>20</v>
      </c>
    </row>
    <row r="95" spans="1:9">
      <c r="A95" s="8" t="s">
        <v>361</v>
      </c>
      <c r="B95" s="14">
        <v>46143</v>
      </c>
      <c r="C95" s="9" t="s">
        <v>242</v>
      </c>
      <c r="D95" s="9" t="s">
        <v>268</v>
      </c>
      <c r="E95" s="16">
        <v>11644.89</v>
      </c>
      <c r="F95" s="9" t="str">
        <f t="shared" si="4"/>
        <v>REF-1111|11644.89</v>
      </c>
      <c r="G95" s="9" t="str">
        <f>IF(COUNTIF(Bank_Statement!$F:$F,F95)&gt;0,"Matched","Unmatched GL Item")</f>
        <v>Matched</v>
      </c>
      <c r="H95" s="21">
        <f t="shared" si="5"/>
        <v>0</v>
      </c>
      <c r="I95" s="32" t="str">
        <f>IF(G95&lt;&gt;"Matched",COUNTIF($G$2:G95,"&lt;&gt;Matched"),"")</f>
        <v/>
      </c>
    </row>
    <row r="96" spans="1:9">
      <c r="A96" s="8" t="s">
        <v>362</v>
      </c>
      <c r="B96" s="14">
        <v>46144</v>
      </c>
      <c r="C96" s="9" t="s">
        <v>246</v>
      </c>
      <c r="D96" s="9" t="s">
        <v>268</v>
      </c>
      <c r="E96" s="16">
        <v>6170.01</v>
      </c>
      <c r="F96" s="9" t="str">
        <f t="shared" si="4"/>
        <v>REF-1113|6170.01</v>
      </c>
      <c r="G96" s="9" t="str">
        <f>IF(COUNTIF(Bank_Statement!$F:$F,F96)&gt;0,"Matched","Unmatched GL Item")</f>
        <v>Matched</v>
      </c>
      <c r="H96" s="21">
        <f t="shared" si="5"/>
        <v>0</v>
      </c>
      <c r="I96" s="32" t="str">
        <f>IF(G96&lt;&gt;"Matched",COUNTIF($G$2:G96,"&lt;&gt;Matched"),"")</f>
        <v/>
      </c>
    </row>
    <row r="97" spans="1:9">
      <c r="A97" s="8" t="s">
        <v>363</v>
      </c>
      <c r="B97" s="14">
        <v>46144</v>
      </c>
      <c r="C97" s="9" t="s">
        <v>248</v>
      </c>
      <c r="D97" s="9" t="s">
        <v>268</v>
      </c>
      <c r="E97" s="16">
        <v>-558.84</v>
      </c>
      <c r="F97" s="9" t="str">
        <f t="shared" si="4"/>
        <v>REF-1114|-558.84</v>
      </c>
      <c r="G97" s="9" t="str">
        <f>IF(COUNTIF(Bank_Statement!$F:$F,F97)&gt;0,"Matched","Unmatched GL Item")</f>
        <v>Matched</v>
      </c>
      <c r="H97" s="21">
        <f t="shared" si="5"/>
        <v>0</v>
      </c>
      <c r="I97" s="32" t="str">
        <f>IF(G97&lt;&gt;"Matched",COUNTIF($G$2:G97,"&lt;&gt;Matched"),"")</f>
        <v/>
      </c>
    </row>
    <row r="98" spans="1:9">
      <c r="A98" s="8" t="s">
        <v>364</v>
      </c>
      <c r="B98" s="14">
        <v>46159</v>
      </c>
      <c r="C98" s="9" t="s">
        <v>250</v>
      </c>
      <c r="D98" s="9" t="s">
        <v>268</v>
      </c>
      <c r="E98" s="16">
        <v>-7660.24</v>
      </c>
      <c r="F98" s="9" t="str">
        <f t="shared" ref="F98:F129" si="6">C98&amp;"|"&amp;ROUND(E98,2)</f>
        <v>REF-1115|-7660.24</v>
      </c>
      <c r="G98" s="9" t="str">
        <f>IF(COUNTIF(Bank_Statement!$F:$F,F98)&gt;0,"Matched","Unmatched GL Item")</f>
        <v>Matched</v>
      </c>
      <c r="H98" s="21">
        <f t="shared" ref="H98:H129" si="7">IF(G98="Matched",0,E98)</f>
        <v>0</v>
      </c>
      <c r="I98" s="32" t="str">
        <f>IF(G98&lt;&gt;"Matched",COUNTIF($G$2:G98,"&lt;&gt;Matched"),"")</f>
        <v/>
      </c>
    </row>
    <row r="99" spans="1:9">
      <c r="A99" s="8" t="s">
        <v>365</v>
      </c>
      <c r="B99" s="14">
        <v>46156</v>
      </c>
      <c r="C99" s="9" t="s">
        <v>252</v>
      </c>
      <c r="D99" s="9" t="s">
        <v>268</v>
      </c>
      <c r="E99" s="16">
        <v>628.95000000000005</v>
      </c>
      <c r="F99" s="9" t="str">
        <f t="shared" si="6"/>
        <v>REF-1116|628.95</v>
      </c>
      <c r="G99" s="9" t="str">
        <f>IF(COUNTIF(Bank_Statement!$F:$F,F99)&gt;0,"Matched","Unmatched GL Item")</f>
        <v>Matched</v>
      </c>
      <c r="H99" s="21">
        <f t="shared" si="7"/>
        <v>0</v>
      </c>
      <c r="I99" s="32" t="str">
        <f>IF(G99&lt;&gt;"Matched",COUNTIF($G$2:G99,"&lt;&gt;Matched"),"")</f>
        <v/>
      </c>
    </row>
    <row r="100" spans="1:9">
      <c r="A100" s="8" t="s">
        <v>366</v>
      </c>
      <c r="B100" s="14">
        <v>46151</v>
      </c>
      <c r="C100" s="9" t="s">
        <v>254</v>
      </c>
      <c r="D100" s="9" t="s">
        <v>268</v>
      </c>
      <c r="E100" s="16">
        <v>9451.36</v>
      </c>
      <c r="F100" s="9" t="str">
        <f t="shared" si="6"/>
        <v>REF-1117|9451.36</v>
      </c>
      <c r="G100" s="9" t="str">
        <f>IF(COUNTIF(Bank_Statement!$F:$F,F100)&gt;0,"Matched","Unmatched GL Item")</f>
        <v>Matched</v>
      </c>
      <c r="H100" s="21">
        <f t="shared" si="7"/>
        <v>0</v>
      </c>
      <c r="I100" s="32" t="str">
        <f>IF(G100&lt;&gt;"Matched",COUNTIF($G$2:G100,"&lt;&gt;Matched"),"")</f>
        <v/>
      </c>
    </row>
    <row r="101" spans="1:9">
      <c r="A101" s="8" t="s">
        <v>367</v>
      </c>
      <c r="B101" s="14">
        <v>46169</v>
      </c>
      <c r="C101" s="9" t="s">
        <v>256</v>
      </c>
      <c r="D101" s="9" t="s">
        <v>268</v>
      </c>
      <c r="E101" s="16">
        <v>-8470.35</v>
      </c>
      <c r="F101" s="9" t="str">
        <f t="shared" si="6"/>
        <v>REF-1118|-8470.35</v>
      </c>
      <c r="G101" s="9" t="str">
        <f>IF(COUNTIF(Bank_Statement!$F:$F,F101)&gt;0,"Matched","Unmatched GL Item")</f>
        <v>Matched</v>
      </c>
      <c r="H101" s="21">
        <f t="shared" si="7"/>
        <v>0</v>
      </c>
      <c r="I101" s="32" t="str">
        <f>IF(G101&lt;&gt;"Matched",COUNTIF($G$2:G101,"&lt;&gt;Matched"),"")</f>
        <v/>
      </c>
    </row>
    <row r="102" spans="1:9">
      <c r="A102" s="8" t="s">
        <v>368</v>
      </c>
      <c r="B102" s="14">
        <v>46154</v>
      </c>
      <c r="C102" s="9" t="s">
        <v>369</v>
      </c>
      <c r="D102" s="9" t="s">
        <v>370</v>
      </c>
      <c r="E102" s="16">
        <v>-469.1</v>
      </c>
      <c r="F102" s="9" t="str">
        <f t="shared" si="6"/>
        <v>GLONLY-101|-469.1</v>
      </c>
      <c r="G102" s="9" t="str">
        <f>IF(COUNTIF(Bank_Statement!$F:$F,F102)&gt;0,"Matched","Unmatched GL Item")</f>
        <v>Unmatched GL Item</v>
      </c>
      <c r="H102" s="21">
        <f t="shared" si="7"/>
        <v>-469.1</v>
      </c>
      <c r="I102" s="32">
        <f>IF(G102&lt;&gt;"Matched",COUNTIF($G$2:G102,"&lt;&gt;Matched"),"")</f>
        <v>21</v>
      </c>
    </row>
    <row r="103" spans="1:9">
      <c r="A103" s="8" t="s">
        <v>371</v>
      </c>
      <c r="B103" s="14">
        <v>46173</v>
      </c>
      <c r="C103" s="9" t="s">
        <v>372</v>
      </c>
      <c r="D103" s="9" t="s">
        <v>370</v>
      </c>
      <c r="E103" s="16">
        <v>2347.23</v>
      </c>
      <c r="F103" s="9" t="str">
        <f t="shared" si="6"/>
        <v>GLONLY-102|2347.23</v>
      </c>
      <c r="G103" s="9" t="str">
        <f>IF(COUNTIF(Bank_Statement!$F:$F,F103)&gt;0,"Matched","Unmatched GL Item")</f>
        <v>Unmatched GL Item</v>
      </c>
      <c r="H103" s="21">
        <f t="shared" si="7"/>
        <v>2347.23</v>
      </c>
      <c r="I103" s="32">
        <f>IF(G103&lt;&gt;"Matched",COUNTIF($G$2:G103,"&lt;&gt;Matched"),"")</f>
        <v>22</v>
      </c>
    </row>
    <row r="104" spans="1:9">
      <c r="A104" s="8" t="s">
        <v>373</v>
      </c>
      <c r="B104" s="14">
        <v>46166</v>
      </c>
      <c r="C104" s="9" t="s">
        <v>374</v>
      </c>
      <c r="D104" s="9" t="s">
        <v>370</v>
      </c>
      <c r="E104" s="16">
        <v>1476.67</v>
      </c>
      <c r="F104" s="9" t="str">
        <f t="shared" si="6"/>
        <v>GLONLY-103|1476.67</v>
      </c>
      <c r="G104" s="9" t="str">
        <f>IF(COUNTIF(Bank_Statement!$F:$F,F104)&gt;0,"Matched","Unmatched GL Item")</f>
        <v>Unmatched GL Item</v>
      </c>
      <c r="H104" s="21">
        <f t="shared" si="7"/>
        <v>1476.67</v>
      </c>
      <c r="I104" s="32">
        <f>IF(G104&lt;&gt;"Matched",COUNTIF($G$2:G104,"&lt;&gt;Matched"),"")</f>
        <v>23</v>
      </c>
    </row>
    <row r="105" spans="1:9">
      <c r="A105" s="8" t="s">
        <v>375</v>
      </c>
      <c r="B105" s="14">
        <v>46144</v>
      </c>
      <c r="C105" s="9" t="s">
        <v>376</v>
      </c>
      <c r="D105" s="9" t="s">
        <v>370</v>
      </c>
      <c r="E105" s="16">
        <v>1743.09</v>
      </c>
      <c r="F105" s="9" t="str">
        <f t="shared" si="6"/>
        <v>GLONLY-104|1743.09</v>
      </c>
      <c r="G105" s="9" t="str">
        <f>IF(COUNTIF(Bank_Statement!$F:$F,F105)&gt;0,"Matched","Unmatched GL Item")</f>
        <v>Unmatched GL Item</v>
      </c>
      <c r="H105" s="21">
        <f t="shared" si="7"/>
        <v>1743.09</v>
      </c>
      <c r="I105" s="32">
        <f>IF(G105&lt;&gt;"Matched",COUNTIF($G$2:G105,"&lt;&gt;Matched"),"")</f>
        <v>24</v>
      </c>
    </row>
    <row r="106" spans="1:9">
      <c r="A106" s="8" t="s">
        <v>377</v>
      </c>
      <c r="B106" s="14">
        <v>46162</v>
      </c>
      <c r="C106" s="9" t="s">
        <v>378</v>
      </c>
      <c r="D106" s="9" t="s">
        <v>370</v>
      </c>
      <c r="E106" s="16">
        <v>298.14999999999998</v>
      </c>
      <c r="F106" s="9" t="str">
        <f t="shared" si="6"/>
        <v>GLONLY-105|298.15</v>
      </c>
      <c r="G106" s="9" t="str">
        <f>IF(COUNTIF(Bank_Statement!$F:$F,F106)&gt;0,"Matched","Unmatched GL Item")</f>
        <v>Unmatched GL Item</v>
      </c>
      <c r="H106" s="21">
        <f t="shared" si="7"/>
        <v>298.14999999999998</v>
      </c>
      <c r="I106" s="32">
        <f>IF(G106&lt;&gt;"Matched",COUNTIF($G$2:G106,"&lt;&gt;Matched"),"")</f>
        <v>25</v>
      </c>
    </row>
    <row r="107" spans="1:9">
      <c r="A107" s="8" t="s">
        <v>379</v>
      </c>
      <c r="B107" s="14">
        <v>46159</v>
      </c>
      <c r="C107" s="9" t="s">
        <v>380</v>
      </c>
      <c r="D107" s="9" t="s">
        <v>370</v>
      </c>
      <c r="E107" s="16">
        <v>4459.8500000000004</v>
      </c>
      <c r="F107" s="9" t="str">
        <f t="shared" si="6"/>
        <v>GLONLY-106|4459.85</v>
      </c>
      <c r="G107" s="9" t="str">
        <f>IF(COUNTIF(Bank_Statement!$F:$F,F107)&gt;0,"Matched","Unmatched GL Item")</f>
        <v>Unmatched GL Item</v>
      </c>
      <c r="H107" s="21">
        <f t="shared" si="7"/>
        <v>4459.8500000000004</v>
      </c>
      <c r="I107" s="32">
        <f>IF(G107&lt;&gt;"Matched",COUNTIF($G$2:G107,"&lt;&gt;Matched"),"")</f>
        <v>26</v>
      </c>
    </row>
    <row r="108" spans="1:9">
      <c r="A108" s="8" t="s">
        <v>381</v>
      </c>
      <c r="B108" s="14">
        <v>46157</v>
      </c>
      <c r="C108" s="9" t="s">
        <v>382</v>
      </c>
      <c r="D108" s="9" t="s">
        <v>370</v>
      </c>
      <c r="E108" s="16">
        <v>-4960.2299999999996</v>
      </c>
      <c r="F108" s="9" t="str">
        <f t="shared" si="6"/>
        <v>GLONLY-107|-4960.23</v>
      </c>
      <c r="G108" s="9" t="str">
        <f>IF(COUNTIF(Bank_Statement!$F:$F,F108)&gt;0,"Matched","Unmatched GL Item")</f>
        <v>Unmatched GL Item</v>
      </c>
      <c r="H108" s="21">
        <f t="shared" si="7"/>
        <v>-4960.2299999999996</v>
      </c>
      <c r="I108" s="32">
        <f>IF(G108&lt;&gt;"Matched",COUNTIF($G$2:G108,"&lt;&gt;Matched"),"")</f>
        <v>27</v>
      </c>
    </row>
    <row r="109" spans="1:9">
      <c r="A109" s="8" t="s">
        <v>383</v>
      </c>
      <c r="B109" s="14">
        <v>46147</v>
      </c>
      <c r="C109" s="9" t="s">
        <v>384</v>
      </c>
      <c r="D109" s="9" t="s">
        <v>370</v>
      </c>
      <c r="E109" s="16">
        <v>-3002.7</v>
      </c>
      <c r="F109" s="9" t="str">
        <f t="shared" si="6"/>
        <v>GLONLY-108|-3002.7</v>
      </c>
      <c r="G109" s="9" t="str">
        <f>IF(COUNTIF(Bank_Statement!$F:$F,F109)&gt;0,"Matched","Unmatched GL Item")</f>
        <v>Unmatched GL Item</v>
      </c>
      <c r="H109" s="21">
        <f t="shared" si="7"/>
        <v>-3002.7</v>
      </c>
      <c r="I109" s="32">
        <f>IF(G109&lt;&gt;"Matched",COUNTIF($G$2:G109,"&lt;&gt;Matched"),"")</f>
        <v>28</v>
      </c>
    </row>
    <row r="110" spans="1:9">
      <c r="A110" s="8" t="s">
        <v>385</v>
      </c>
      <c r="B110" s="14">
        <v>46144</v>
      </c>
      <c r="C110" s="9" t="s">
        <v>386</v>
      </c>
      <c r="D110" s="9" t="s">
        <v>370</v>
      </c>
      <c r="E110" s="16">
        <v>-3621.96</v>
      </c>
      <c r="F110" s="9" t="str">
        <f t="shared" si="6"/>
        <v>GLONLY-109|-3621.96</v>
      </c>
      <c r="G110" s="9" t="str">
        <f>IF(COUNTIF(Bank_Statement!$F:$F,F110)&gt;0,"Matched","Unmatched GL Item")</f>
        <v>Unmatched GL Item</v>
      </c>
      <c r="H110" s="21">
        <f t="shared" si="7"/>
        <v>-3621.96</v>
      </c>
      <c r="I110" s="32">
        <f>IF(G110&lt;&gt;"Matched",COUNTIF($G$2:G110,"&lt;&gt;Matched"),"")</f>
        <v>29</v>
      </c>
    </row>
    <row r="111" spans="1:9">
      <c r="A111" s="8" t="s">
        <v>387</v>
      </c>
      <c r="B111" s="14">
        <v>46151</v>
      </c>
      <c r="C111" s="9" t="s">
        <v>388</v>
      </c>
      <c r="D111" s="9" t="s">
        <v>370</v>
      </c>
      <c r="E111" s="16">
        <v>2400.77</v>
      </c>
      <c r="F111" s="9" t="str">
        <f t="shared" si="6"/>
        <v>GLONLY-110|2400.77</v>
      </c>
      <c r="G111" s="9" t="str">
        <f>IF(COUNTIF(Bank_Statement!$F:$F,F111)&gt;0,"Matched","Unmatched GL Item")</f>
        <v>Unmatched GL Item</v>
      </c>
      <c r="H111" s="21">
        <f t="shared" si="7"/>
        <v>2400.77</v>
      </c>
      <c r="I111" s="32">
        <f>IF(G111&lt;&gt;"Matched",COUNTIF($G$2:G111,"&lt;&gt;Matched"),"")</f>
        <v>30</v>
      </c>
    </row>
    <row r="112" spans="1:9">
      <c r="A112" s="8" t="s">
        <v>389</v>
      </c>
      <c r="B112" s="14">
        <v>46160</v>
      </c>
      <c r="C112" s="9" t="s">
        <v>390</v>
      </c>
      <c r="D112" s="9" t="s">
        <v>370</v>
      </c>
      <c r="E112" s="16">
        <v>-4315.3100000000004</v>
      </c>
      <c r="F112" s="9" t="str">
        <f t="shared" si="6"/>
        <v>GLONLY-111|-4315.31</v>
      </c>
      <c r="G112" s="9" t="str">
        <f>IF(COUNTIF(Bank_Statement!$F:$F,F112)&gt;0,"Matched","Unmatched GL Item")</f>
        <v>Unmatched GL Item</v>
      </c>
      <c r="H112" s="21">
        <f t="shared" si="7"/>
        <v>-4315.3100000000004</v>
      </c>
      <c r="I112" s="32">
        <f>IF(G112&lt;&gt;"Matched",COUNTIF($G$2:G112,"&lt;&gt;Matched"),"")</f>
        <v>31</v>
      </c>
    </row>
    <row r="113" spans="1:9">
      <c r="A113" s="8" t="s">
        <v>391</v>
      </c>
      <c r="B113" s="14">
        <v>46152</v>
      </c>
      <c r="C113" s="9" t="s">
        <v>392</v>
      </c>
      <c r="D113" s="9" t="s">
        <v>370</v>
      </c>
      <c r="E113" s="16">
        <v>-4296.2700000000004</v>
      </c>
      <c r="F113" s="9" t="str">
        <f t="shared" si="6"/>
        <v>GLONLY-112|-4296.27</v>
      </c>
      <c r="G113" s="9" t="str">
        <f>IF(COUNTIF(Bank_Statement!$F:$F,F113)&gt;0,"Matched","Unmatched GL Item")</f>
        <v>Unmatched GL Item</v>
      </c>
      <c r="H113" s="21">
        <f t="shared" si="7"/>
        <v>-4296.2700000000004</v>
      </c>
      <c r="I113" s="32">
        <f>IF(G113&lt;&gt;"Matched",COUNTIF($G$2:G113,"&lt;&gt;Matched"),"")</f>
        <v>32</v>
      </c>
    </row>
    <row r="114" spans="1:9">
      <c r="A114" s="8" t="s">
        <v>393</v>
      </c>
      <c r="B114" s="14">
        <v>46157</v>
      </c>
      <c r="C114" s="9" t="s">
        <v>394</v>
      </c>
      <c r="D114" s="9" t="s">
        <v>370</v>
      </c>
      <c r="E114" s="16">
        <v>2406.4699999999998</v>
      </c>
      <c r="F114" s="9" t="str">
        <f t="shared" si="6"/>
        <v>GLONLY-113|2406.47</v>
      </c>
      <c r="G114" s="9" t="str">
        <f>IF(COUNTIF(Bank_Statement!$F:$F,F114)&gt;0,"Matched","Unmatched GL Item")</f>
        <v>Unmatched GL Item</v>
      </c>
      <c r="H114" s="21">
        <f t="shared" si="7"/>
        <v>2406.4699999999998</v>
      </c>
      <c r="I114" s="32">
        <f>IF(G114&lt;&gt;"Matched",COUNTIF($G$2:G114,"&lt;&gt;Matched"),"")</f>
        <v>33</v>
      </c>
    </row>
    <row r="115" spans="1:9">
      <c r="A115" s="8" t="s">
        <v>395</v>
      </c>
      <c r="B115" s="14">
        <v>46158</v>
      </c>
      <c r="C115" s="9" t="s">
        <v>396</v>
      </c>
      <c r="D115" s="9" t="s">
        <v>370</v>
      </c>
      <c r="E115" s="16">
        <v>-2323.16</v>
      </c>
      <c r="F115" s="9" t="str">
        <f t="shared" si="6"/>
        <v>GLONLY-114|-2323.16</v>
      </c>
      <c r="G115" s="9" t="str">
        <f>IF(COUNTIF(Bank_Statement!$F:$F,F115)&gt;0,"Matched","Unmatched GL Item")</f>
        <v>Unmatched GL Item</v>
      </c>
      <c r="H115" s="21">
        <f t="shared" si="7"/>
        <v>-2323.16</v>
      </c>
      <c r="I115" s="32">
        <f>IF(G115&lt;&gt;"Matched",COUNTIF($G$2:G115,"&lt;&gt;Matched"),"")</f>
        <v>34</v>
      </c>
    </row>
    <row r="116" spans="1:9">
      <c r="A116" s="11" t="s">
        <v>397</v>
      </c>
      <c r="B116" s="15">
        <v>46153</v>
      </c>
      <c r="C116" s="12" t="s">
        <v>398</v>
      </c>
      <c r="D116" s="12" t="s">
        <v>370</v>
      </c>
      <c r="E116" s="17">
        <v>-3168.24</v>
      </c>
      <c r="F116" s="12" t="str">
        <f t="shared" si="6"/>
        <v>GLONLY-115|-3168.24</v>
      </c>
      <c r="G116" s="12" t="str">
        <f>IF(COUNTIF(Bank_Statement!$F:$F,F116)&gt;0,"Matched","Unmatched GL Item")</f>
        <v>Unmatched GL Item</v>
      </c>
      <c r="H116" s="22">
        <f t="shared" si="7"/>
        <v>-3168.24</v>
      </c>
      <c r="I116" s="32">
        <f>IF(G116&lt;&gt;"Matched",COUNTIF($G$2:G116,"&lt;&gt;Matched"),"")</f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6"/>
  <sheetViews>
    <sheetView tabSelected="1" workbookViewId="0"/>
  </sheetViews>
  <sheetFormatPr defaultRowHeight="13.8"/>
  <cols>
    <col min="1" max="5" width="18" customWidth="1"/>
    <col min="6" max="6" width="24.09765625" customWidth="1"/>
    <col min="7" max="7" width="18" customWidth="1"/>
    <col min="8" max="8" width="35" customWidth="1"/>
  </cols>
  <sheetData>
    <row r="1" spans="1:8" ht="24" customHeight="1">
      <c r="A1" s="23" t="s">
        <v>261</v>
      </c>
      <c r="B1" s="23" t="s">
        <v>262</v>
      </c>
      <c r="C1" s="23" t="s">
        <v>12</v>
      </c>
      <c r="D1" s="23" t="s">
        <v>13</v>
      </c>
      <c r="E1" s="23" t="s">
        <v>263</v>
      </c>
      <c r="F1" s="23" t="s">
        <v>15</v>
      </c>
      <c r="G1" s="23" t="s">
        <v>264</v>
      </c>
      <c r="H1" s="23" t="s">
        <v>265</v>
      </c>
    </row>
    <row r="2" spans="1:8">
      <c r="A2" t="str">
        <f>IFERROR(INDEX(GL_Cash_Book!A$2:A$116,MATCH(ROW()-1,GL_Cash_Book!$I$2:$I$116,0)),"")</f>
        <v>GL-0011</v>
      </c>
      <c r="B2" s="28">
        <f>IFERROR(INDEX(GL_Cash_Book!B$2:B$116,MATCH(ROW()-1,GL_Cash_Book!$I$2:$I$116,0)),"")</f>
        <v>46171</v>
      </c>
      <c r="C2" t="str">
        <f>IFERROR(INDEX(GL_Cash_Book!C$2:C$116,MATCH(ROW()-1,GL_Cash_Book!$I$2:$I$116,0)),"")</f>
        <v>REF-1014</v>
      </c>
      <c r="D2" t="str">
        <f>IFERROR(INDEX(GL_Cash_Book!D$2:D$116,MATCH(ROW()-1,GL_Cash_Book!$I$2:$I$116,0)),"")</f>
        <v>Cash posting</v>
      </c>
      <c r="E2" s="29">
        <f>IFERROR(INDEX(GL_Cash_Book!E$2:E$116,MATCH(ROW()-1,GL_Cash_Book!$I$2:$I$116,0)),"")</f>
        <v>5342.67</v>
      </c>
      <c r="F2" t="str">
        <f>IFERROR(INDEX(GL_Cash_Book!F$2:F$116,MATCH(ROW()-1,GL_Cash_Book!$I$2:$I$116,0)),"")</f>
        <v>REF-1014|5342.67</v>
      </c>
      <c r="G2" t="str">
        <f>IFERROR(INDEX(GL_Cash_Book!G$2:G$116,MATCH(ROW()-1,GL_Cash_Book!$I$2:$I$116,0)),"")</f>
        <v>Unmatched GL Item</v>
      </c>
      <c r="H2" s="31">
        <f>IFERROR(INDEX(GL_Cash_Book!H$2:H$116,MATCH(ROW()-1,GL_Cash_Book!$I$2:$I$116,0)),"")</f>
        <v>5342.67</v>
      </c>
    </row>
    <row r="3" spans="1:8">
      <c r="A3" t="str">
        <f>IFERROR(INDEX(GL_Cash_Book!A$2:A$116,MATCH(ROW()-1,GL_Cash_Book!$I$2:$I$116,0)),"")</f>
        <v>GL-0017</v>
      </c>
      <c r="B3" s="28">
        <f>IFERROR(INDEX(GL_Cash_Book!B$2:B$116,MATCH(ROW()-1,GL_Cash_Book!$I$2:$I$116,0)),"")</f>
        <v>46153</v>
      </c>
      <c r="C3" t="str">
        <f>IFERROR(INDEX(GL_Cash_Book!C$2:C$116,MATCH(ROW()-1,GL_Cash_Book!$I$2:$I$116,0)),"")</f>
        <v>REF-1021</v>
      </c>
      <c r="D3" t="str">
        <f>IFERROR(INDEX(GL_Cash_Book!D$2:D$116,MATCH(ROW()-1,GL_Cash_Book!$I$2:$I$116,0)),"")</f>
        <v>Cash posting</v>
      </c>
      <c r="E3" s="29">
        <f>IFERROR(INDEX(GL_Cash_Book!E$2:E$116,MATCH(ROW()-1,GL_Cash_Book!$I$2:$I$116,0)),"")</f>
        <v>-7539.57</v>
      </c>
      <c r="F3" t="str">
        <f>IFERROR(INDEX(GL_Cash_Book!F$2:F$116,MATCH(ROW()-1,GL_Cash_Book!$I$2:$I$116,0)),"")</f>
        <v>REF-1021|-7539.57</v>
      </c>
      <c r="G3" t="str">
        <f>IFERROR(INDEX(GL_Cash_Book!G$2:G$116,MATCH(ROW()-1,GL_Cash_Book!$I$2:$I$116,0)),"")</f>
        <v>Unmatched GL Item</v>
      </c>
      <c r="H3" s="31">
        <f>IFERROR(INDEX(GL_Cash_Book!H$2:H$116,MATCH(ROW()-1,GL_Cash_Book!$I$2:$I$116,0)),"")</f>
        <v>-7539.57</v>
      </c>
    </row>
    <row r="4" spans="1:8">
      <c r="A4" t="str">
        <f>IFERROR(INDEX(GL_Cash_Book!A$2:A$116,MATCH(ROW()-1,GL_Cash_Book!$I$2:$I$116,0)),"")</f>
        <v>GL-0019</v>
      </c>
      <c r="B4" s="28">
        <f>IFERROR(INDEX(GL_Cash_Book!B$2:B$116,MATCH(ROW()-1,GL_Cash_Book!$I$2:$I$116,0)),"")</f>
        <v>46143</v>
      </c>
      <c r="C4" t="str">
        <f>IFERROR(INDEX(GL_Cash_Book!C$2:C$116,MATCH(ROW()-1,GL_Cash_Book!$I$2:$I$116,0)),"")</f>
        <v>REF-1023</v>
      </c>
      <c r="D4" t="str">
        <f>IFERROR(INDEX(GL_Cash_Book!D$2:D$116,MATCH(ROW()-1,GL_Cash_Book!$I$2:$I$116,0)),"")</f>
        <v>Cash posting</v>
      </c>
      <c r="E4" s="29">
        <f>IFERROR(INDEX(GL_Cash_Book!E$2:E$116,MATCH(ROW()-1,GL_Cash_Book!$I$2:$I$116,0)),"")</f>
        <v>-711.91</v>
      </c>
      <c r="F4" t="str">
        <f>IFERROR(INDEX(GL_Cash_Book!F$2:F$116,MATCH(ROW()-1,GL_Cash_Book!$I$2:$I$116,0)),"")</f>
        <v>REF-1023|-711.91</v>
      </c>
      <c r="G4" t="str">
        <f>IFERROR(INDEX(GL_Cash_Book!G$2:G$116,MATCH(ROW()-1,GL_Cash_Book!$I$2:$I$116,0)),"")</f>
        <v>Unmatched GL Item</v>
      </c>
      <c r="H4" s="31">
        <f>IFERROR(INDEX(GL_Cash_Book!H$2:H$116,MATCH(ROW()-1,GL_Cash_Book!$I$2:$I$116,0)),"")</f>
        <v>-711.91</v>
      </c>
    </row>
    <row r="5" spans="1:8">
      <c r="A5" t="str">
        <f>IFERROR(INDEX(GL_Cash_Book!A$2:A$116,MATCH(ROW()-1,GL_Cash_Book!$I$2:$I$116,0)),"")</f>
        <v>GL-0022</v>
      </c>
      <c r="B5" s="28">
        <f>IFERROR(INDEX(GL_Cash_Book!B$2:B$116,MATCH(ROW()-1,GL_Cash_Book!$I$2:$I$116,0)),"")</f>
        <v>46146</v>
      </c>
      <c r="C5" t="str">
        <f>IFERROR(INDEX(GL_Cash_Book!C$2:C$116,MATCH(ROW()-1,GL_Cash_Book!$I$2:$I$116,0)),"")</f>
        <v>REF-1026</v>
      </c>
      <c r="D5" t="str">
        <f>IFERROR(INDEX(GL_Cash_Book!D$2:D$116,MATCH(ROW()-1,GL_Cash_Book!$I$2:$I$116,0)),"")</f>
        <v>Cash posting</v>
      </c>
      <c r="E5" s="29">
        <f>IFERROR(INDEX(GL_Cash_Book!E$2:E$116,MATCH(ROW()-1,GL_Cash_Book!$I$2:$I$116,0)),"")</f>
        <v>-1278.44</v>
      </c>
      <c r="F5" t="str">
        <f>IFERROR(INDEX(GL_Cash_Book!F$2:F$116,MATCH(ROW()-1,GL_Cash_Book!$I$2:$I$116,0)),"")</f>
        <v>REF-1026|-1278.44</v>
      </c>
      <c r="G5" t="str">
        <f>IFERROR(INDEX(GL_Cash_Book!G$2:G$116,MATCH(ROW()-1,GL_Cash_Book!$I$2:$I$116,0)),"")</f>
        <v>Unmatched GL Item</v>
      </c>
      <c r="H5" s="31">
        <f>IFERROR(INDEX(GL_Cash_Book!H$2:H$116,MATCH(ROW()-1,GL_Cash_Book!$I$2:$I$116,0)),"")</f>
        <v>-1278.44</v>
      </c>
    </row>
    <row r="6" spans="1:8">
      <c r="A6" t="str">
        <f>IFERROR(INDEX(GL_Cash_Book!A$2:A$116,MATCH(ROW()-1,GL_Cash_Book!$I$2:$I$116,0)),"")</f>
        <v>GL-0027</v>
      </c>
      <c r="B6" s="28">
        <f>IFERROR(INDEX(GL_Cash_Book!B$2:B$116,MATCH(ROW()-1,GL_Cash_Book!$I$2:$I$116,0)),"")</f>
        <v>46149</v>
      </c>
      <c r="C6" t="str">
        <f>IFERROR(INDEX(GL_Cash_Book!C$2:C$116,MATCH(ROW()-1,GL_Cash_Book!$I$2:$I$116,0)),"")</f>
        <v>REF-1031</v>
      </c>
      <c r="D6" t="str">
        <f>IFERROR(INDEX(GL_Cash_Book!D$2:D$116,MATCH(ROW()-1,GL_Cash_Book!$I$2:$I$116,0)),"")</f>
        <v>Cash posting</v>
      </c>
      <c r="E6" s="29">
        <f>IFERROR(INDEX(GL_Cash_Book!E$2:E$116,MATCH(ROW()-1,GL_Cash_Book!$I$2:$I$116,0)),"")</f>
        <v>8775.73</v>
      </c>
      <c r="F6" t="str">
        <f>IFERROR(INDEX(GL_Cash_Book!F$2:F$116,MATCH(ROW()-1,GL_Cash_Book!$I$2:$I$116,0)),"")</f>
        <v>REF-1031|8775.73</v>
      </c>
      <c r="G6" t="str">
        <f>IFERROR(INDEX(GL_Cash_Book!G$2:G$116,MATCH(ROW()-1,GL_Cash_Book!$I$2:$I$116,0)),"")</f>
        <v>Unmatched GL Item</v>
      </c>
      <c r="H6" s="31">
        <f>IFERROR(INDEX(GL_Cash_Book!H$2:H$116,MATCH(ROW()-1,GL_Cash_Book!$I$2:$I$116,0)),"")</f>
        <v>8775.73</v>
      </c>
    </row>
    <row r="7" spans="1:8">
      <c r="A7" t="str">
        <f>IFERROR(INDEX(GL_Cash_Book!A$2:A$116,MATCH(ROW()-1,GL_Cash_Book!$I$2:$I$116,0)),"")</f>
        <v>GL-0030</v>
      </c>
      <c r="B7" s="28">
        <f>IFERROR(INDEX(GL_Cash_Book!B$2:B$116,MATCH(ROW()-1,GL_Cash_Book!$I$2:$I$116,0)),"")</f>
        <v>46160</v>
      </c>
      <c r="C7" t="str">
        <f>IFERROR(INDEX(GL_Cash_Book!C$2:C$116,MATCH(ROW()-1,GL_Cash_Book!$I$2:$I$116,0)),"")</f>
        <v>REF-1035</v>
      </c>
      <c r="D7" t="str">
        <f>IFERROR(INDEX(GL_Cash_Book!D$2:D$116,MATCH(ROW()-1,GL_Cash_Book!$I$2:$I$116,0)),"")</f>
        <v>Cash posting</v>
      </c>
      <c r="E7" s="29">
        <f>IFERROR(INDEX(GL_Cash_Book!E$2:E$116,MATCH(ROW()-1,GL_Cash_Book!$I$2:$I$116,0)),"")</f>
        <v>10944.89</v>
      </c>
      <c r="F7" t="str">
        <f>IFERROR(INDEX(GL_Cash_Book!F$2:F$116,MATCH(ROW()-1,GL_Cash_Book!$I$2:$I$116,0)),"")</f>
        <v>REF-1035|10944.89</v>
      </c>
      <c r="G7" t="str">
        <f>IFERROR(INDEX(GL_Cash_Book!G$2:G$116,MATCH(ROW()-1,GL_Cash_Book!$I$2:$I$116,0)),"")</f>
        <v>Unmatched GL Item</v>
      </c>
      <c r="H7" s="31">
        <f>IFERROR(INDEX(GL_Cash_Book!H$2:H$116,MATCH(ROW()-1,GL_Cash_Book!$I$2:$I$116,0)),"")</f>
        <v>10944.89</v>
      </c>
    </row>
    <row r="8" spans="1:8">
      <c r="A8" t="str">
        <f>IFERROR(INDEX(GL_Cash_Book!A$2:A$116,MATCH(ROW()-1,GL_Cash_Book!$I$2:$I$116,0)),"")</f>
        <v>GL-0033</v>
      </c>
      <c r="B8" s="28">
        <f>IFERROR(INDEX(GL_Cash_Book!B$2:B$116,MATCH(ROW()-1,GL_Cash_Book!$I$2:$I$116,0)),"")</f>
        <v>46143</v>
      </c>
      <c r="C8" t="str">
        <f>IFERROR(INDEX(GL_Cash_Book!C$2:C$116,MATCH(ROW()-1,GL_Cash_Book!$I$2:$I$116,0)),"")</f>
        <v>REF-1038</v>
      </c>
      <c r="D8" t="str">
        <f>IFERROR(INDEX(GL_Cash_Book!D$2:D$116,MATCH(ROW()-1,GL_Cash_Book!$I$2:$I$116,0)),"")</f>
        <v>Cash posting</v>
      </c>
      <c r="E8" s="29">
        <f>IFERROR(INDEX(GL_Cash_Book!E$2:E$116,MATCH(ROW()-1,GL_Cash_Book!$I$2:$I$116,0)),"")</f>
        <v>-5335.12</v>
      </c>
      <c r="F8" t="str">
        <f>IFERROR(INDEX(GL_Cash_Book!F$2:F$116,MATCH(ROW()-1,GL_Cash_Book!$I$2:$I$116,0)),"")</f>
        <v>REF-1038|-5335.12</v>
      </c>
      <c r="G8" t="str">
        <f>IFERROR(INDEX(GL_Cash_Book!G$2:G$116,MATCH(ROW()-1,GL_Cash_Book!$I$2:$I$116,0)),"")</f>
        <v>Unmatched GL Item</v>
      </c>
      <c r="H8" s="31">
        <f>IFERROR(INDEX(GL_Cash_Book!H$2:H$116,MATCH(ROW()-1,GL_Cash_Book!$I$2:$I$116,0)),"")</f>
        <v>-5335.12</v>
      </c>
    </row>
    <row r="9" spans="1:8">
      <c r="A9" t="str">
        <f>IFERROR(INDEX(GL_Cash_Book!A$2:A$116,MATCH(ROW()-1,GL_Cash_Book!$I$2:$I$116,0)),"")</f>
        <v>GL-0041</v>
      </c>
      <c r="B9" s="28">
        <f>IFERROR(INDEX(GL_Cash_Book!B$2:B$116,MATCH(ROW()-1,GL_Cash_Book!$I$2:$I$116,0)),"")</f>
        <v>46146</v>
      </c>
      <c r="C9" t="str">
        <f>IFERROR(INDEX(GL_Cash_Book!C$2:C$116,MATCH(ROW()-1,GL_Cash_Book!$I$2:$I$116,0)),"")</f>
        <v>REF-1049</v>
      </c>
      <c r="D9" t="str">
        <f>IFERROR(INDEX(GL_Cash_Book!D$2:D$116,MATCH(ROW()-1,GL_Cash_Book!$I$2:$I$116,0)),"")</f>
        <v>Cash posting</v>
      </c>
      <c r="E9" s="29">
        <f>IFERROR(INDEX(GL_Cash_Book!E$2:E$116,MATCH(ROW()-1,GL_Cash_Book!$I$2:$I$116,0)),"")</f>
        <v>3518.66</v>
      </c>
      <c r="F9" t="str">
        <f>IFERROR(INDEX(GL_Cash_Book!F$2:F$116,MATCH(ROW()-1,GL_Cash_Book!$I$2:$I$116,0)),"")</f>
        <v>REF-1049|3518.66</v>
      </c>
      <c r="G9" t="str">
        <f>IFERROR(INDEX(GL_Cash_Book!G$2:G$116,MATCH(ROW()-1,GL_Cash_Book!$I$2:$I$116,0)),"")</f>
        <v>Unmatched GL Item</v>
      </c>
      <c r="H9" s="31">
        <f>IFERROR(INDEX(GL_Cash_Book!H$2:H$116,MATCH(ROW()-1,GL_Cash_Book!$I$2:$I$116,0)),"")</f>
        <v>3518.66</v>
      </c>
    </row>
    <row r="10" spans="1:8">
      <c r="A10" t="str">
        <f>IFERROR(INDEX(GL_Cash_Book!A$2:A$116,MATCH(ROW()-1,GL_Cash_Book!$I$2:$I$116,0)),"")</f>
        <v>GL-0045</v>
      </c>
      <c r="B10" s="28">
        <f>IFERROR(INDEX(GL_Cash_Book!B$2:B$116,MATCH(ROW()-1,GL_Cash_Book!$I$2:$I$116,0)),"")</f>
        <v>46149</v>
      </c>
      <c r="C10" t="str">
        <f>IFERROR(INDEX(GL_Cash_Book!C$2:C$116,MATCH(ROW()-1,GL_Cash_Book!$I$2:$I$116,0)),"")</f>
        <v>REF-1053</v>
      </c>
      <c r="D10" t="str">
        <f>IFERROR(INDEX(GL_Cash_Book!D$2:D$116,MATCH(ROW()-1,GL_Cash_Book!$I$2:$I$116,0)),"")</f>
        <v>Cash posting</v>
      </c>
      <c r="E10" s="29">
        <f>IFERROR(INDEX(GL_Cash_Book!E$2:E$116,MATCH(ROW()-1,GL_Cash_Book!$I$2:$I$116,0)),"")</f>
        <v>-6941.29</v>
      </c>
      <c r="F10" t="str">
        <f>IFERROR(INDEX(GL_Cash_Book!F$2:F$116,MATCH(ROW()-1,GL_Cash_Book!$I$2:$I$116,0)),"")</f>
        <v>REF-1053|-6941.29</v>
      </c>
      <c r="G10" t="str">
        <f>IFERROR(INDEX(GL_Cash_Book!G$2:G$116,MATCH(ROW()-1,GL_Cash_Book!$I$2:$I$116,0)),"")</f>
        <v>Unmatched GL Item</v>
      </c>
      <c r="H10" s="31">
        <f>IFERROR(INDEX(GL_Cash_Book!H$2:H$116,MATCH(ROW()-1,GL_Cash_Book!$I$2:$I$116,0)),"")</f>
        <v>-6941.29</v>
      </c>
    </row>
    <row r="11" spans="1:8">
      <c r="A11" t="str">
        <f>IFERROR(INDEX(GL_Cash_Book!A$2:A$116,MATCH(ROW()-1,GL_Cash_Book!$I$2:$I$116,0)),"")</f>
        <v>GL-0056</v>
      </c>
      <c r="B11" s="28">
        <f>IFERROR(INDEX(GL_Cash_Book!B$2:B$116,MATCH(ROW()-1,GL_Cash_Book!$I$2:$I$116,0)),"")</f>
        <v>46169</v>
      </c>
      <c r="C11" t="str">
        <f>IFERROR(INDEX(GL_Cash_Book!C$2:C$116,MATCH(ROW()-1,GL_Cash_Book!$I$2:$I$116,0)),"")</f>
        <v>REF-1066</v>
      </c>
      <c r="D11" t="str">
        <f>IFERROR(INDEX(GL_Cash_Book!D$2:D$116,MATCH(ROW()-1,GL_Cash_Book!$I$2:$I$116,0)),"")</f>
        <v>Cash posting</v>
      </c>
      <c r="E11" s="29">
        <f>IFERROR(INDEX(GL_Cash_Book!E$2:E$116,MATCH(ROW()-1,GL_Cash_Book!$I$2:$I$116,0)),"")</f>
        <v>4371.38</v>
      </c>
      <c r="F11" t="str">
        <f>IFERROR(INDEX(GL_Cash_Book!F$2:F$116,MATCH(ROW()-1,GL_Cash_Book!$I$2:$I$116,0)),"")</f>
        <v>REF-1066|4371.38</v>
      </c>
      <c r="G11" t="str">
        <f>IFERROR(INDEX(GL_Cash_Book!G$2:G$116,MATCH(ROW()-1,GL_Cash_Book!$I$2:$I$116,0)),"")</f>
        <v>Unmatched GL Item</v>
      </c>
      <c r="H11" s="31">
        <f>IFERROR(INDEX(GL_Cash_Book!H$2:H$116,MATCH(ROW()-1,GL_Cash_Book!$I$2:$I$116,0)),"")</f>
        <v>4371.38</v>
      </c>
    </row>
    <row r="12" spans="1:8">
      <c r="A12" t="str">
        <f>IFERROR(INDEX(GL_Cash_Book!A$2:A$116,MATCH(ROW()-1,GL_Cash_Book!$I$2:$I$116,0)),"")</f>
        <v>GL-0061</v>
      </c>
      <c r="B12" s="28">
        <f>IFERROR(INDEX(GL_Cash_Book!B$2:B$116,MATCH(ROW()-1,GL_Cash_Book!$I$2:$I$116,0)),"")</f>
        <v>46168</v>
      </c>
      <c r="C12" t="str">
        <f>IFERROR(INDEX(GL_Cash_Book!C$2:C$116,MATCH(ROW()-1,GL_Cash_Book!$I$2:$I$116,0)),"")</f>
        <v>REF-1072</v>
      </c>
      <c r="D12" t="str">
        <f>IFERROR(INDEX(GL_Cash_Book!D$2:D$116,MATCH(ROW()-1,GL_Cash_Book!$I$2:$I$116,0)),"")</f>
        <v>Cash posting</v>
      </c>
      <c r="E12" s="29">
        <f>IFERROR(INDEX(GL_Cash_Book!E$2:E$116,MATCH(ROW()-1,GL_Cash_Book!$I$2:$I$116,0)),"")</f>
        <v>-3832.13</v>
      </c>
      <c r="F12" t="str">
        <f>IFERROR(INDEX(GL_Cash_Book!F$2:F$116,MATCH(ROW()-1,GL_Cash_Book!$I$2:$I$116,0)),"")</f>
        <v>REF-1072|-3832.13</v>
      </c>
      <c r="G12" t="str">
        <f>IFERROR(INDEX(GL_Cash_Book!G$2:G$116,MATCH(ROW()-1,GL_Cash_Book!$I$2:$I$116,0)),"")</f>
        <v>Unmatched GL Item</v>
      </c>
      <c r="H12" s="31">
        <f>IFERROR(INDEX(GL_Cash_Book!H$2:H$116,MATCH(ROW()-1,GL_Cash_Book!$I$2:$I$116,0)),"")</f>
        <v>-3832.13</v>
      </c>
    </row>
    <row r="13" spans="1:8">
      <c r="A13" t="str">
        <f>IFERROR(INDEX(GL_Cash_Book!A$2:A$116,MATCH(ROW()-1,GL_Cash_Book!$I$2:$I$116,0)),"")</f>
        <v>GL-0065</v>
      </c>
      <c r="B13" s="28">
        <f>IFERROR(INDEX(GL_Cash_Book!B$2:B$116,MATCH(ROW()-1,GL_Cash_Book!$I$2:$I$116,0)),"")</f>
        <v>46158</v>
      </c>
      <c r="C13" t="str">
        <f>IFERROR(INDEX(GL_Cash_Book!C$2:C$116,MATCH(ROW()-1,GL_Cash_Book!$I$2:$I$116,0)),"")</f>
        <v>REF-1077</v>
      </c>
      <c r="D13" t="str">
        <f>IFERROR(INDEX(GL_Cash_Book!D$2:D$116,MATCH(ROW()-1,GL_Cash_Book!$I$2:$I$116,0)),"")</f>
        <v>Cash posting</v>
      </c>
      <c r="E13" s="29">
        <f>IFERROR(INDEX(GL_Cash_Book!E$2:E$116,MATCH(ROW()-1,GL_Cash_Book!$I$2:$I$116,0)),"")</f>
        <v>-3001.39</v>
      </c>
      <c r="F13" t="str">
        <f>IFERROR(INDEX(GL_Cash_Book!F$2:F$116,MATCH(ROW()-1,GL_Cash_Book!$I$2:$I$116,0)),"")</f>
        <v>REF-1077|-3001.39</v>
      </c>
      <c r="G13" t="str">
        <f>IFERROR(INDEX(GL_Cash_Book!G$2:G$116,MATCH(ROW()-1,GL_Cash_Book!$I$2:$I$116,0)),"")</f>
        <v>Unmatched GL Item</v>
      </c>
      <c r="H13" s="31">
        <f>IFERROR(INDEX(GL_Cash_Book!H$2:H$116,MATCH(ROW()-1,GL_Cash_Book!$I$2:$I$116,0)),"")</f>
        <v>-3001.39</v>
      </c>
    </row>
    <row r="14" spans="1:8">
      <c r="A14" t="str">
        <f>IFERROR(INDEX(GL_Cash_Book!A$2:A$116,MATCH(ROW()-1,GL_Cash_Book!$I$2:$I$116,0)),"")</f>
        <v>GL-0067</v>
      </c>
      <c r="B14" s="28">
        <f>IFERROR(INDEX(GL_Cash_Book!B$2:B$116,MATCH(ROW()-1,GL_Cash_Book!$I$2:$I$116,0)),"")</f>
        <v>46170</v>
      </c>
      <c r="C14" t="str">
        <f>IFERROR(INDEX(GL_Cash_Book!C$2:C$116,MATCH(ROW()-1,GL_Cash_Book!$I$2:$I$116,0)),"")</f>
        <v>REF-1079</v>
      </c>
      <c r="D14" t="str">
        <f>IFERROR(INDEX(GL_Cash_Book!D$2:D$116,MATCH(ROW()-1,GL_Cash_Book!$I$2:$I$116,0)),"")</f>
        <v>Cash posting</v>
      </c>
      <c r="E14" s="29">
        <f>IFERROR(INDEX(GL_Cash_Book!E$2:E$116,MATCH(ROW()-1,GL_Cash_Book!$I$2:$I$116,0)),"")</f>
        <v>2344.6</v>
      </c>
      <c r="F14" t="str">
        <f>IFERROR(INDEX(GL_Cash_Book!F$2:F$116,MATCH(ROW()-1,GL_Cash_Book!$I$2:$I$116,0)),"")</f>
        <v>REF-1079|2344.6</v>
      </c>
      <c r="G14" t="str">
        <f>IFERROR(INDEX(GL_Cash_Book!G$2:G$116,MATCH(ROW()-1,GL_Cash_Book!$I$2:$I$116,0)),"")</f>
        <v>Unmatched GL Item</v>
      </c>
      <c r="H14" s="31">
        <f>IFERROR(INDEX(GL_Cash_Book!H$2:H$116,MATCH(ROW()-1,GL_Cash_Book!$I$2:$I$116,0)),"")</f>
        <v>2344.6</v>
      </c>
    </row>
    <row r="15" spans="1:8">
      <c r="A15" t="str">
        <f>IFERROR(INDEX(GL_Cash_Book!A$2:A$116,MATCH(ROW()-1,GL_Cash_Book!$I$2:$I$116,0)),"")</f>
        <v>GL-0068</v>
      </c>
      <c r="B15" s="28">
        <f>IFERROR(INDEX(GL_Cash_Book!B$2:B$116,MATCH(ROW()-1,GL_Cash_Book!$I$2:$I$116,0)),"")</f>
        <v>46169</v>
      </c>
      <c r="C15" t="str">
        <f>IFERROR(INDEX(GL_Cash_Book!C$2:C$116,MATCH(ROW()-1,GL_Cash_Book!$I$2:$I$116,0)),"")</f>
        <v>REF-1081</v>
      </c>
      <c r="D15" t="str">
        <f>IFERROR(INDEX(GL_Cash_Book!D$2:D$116,MATCH(ROW()-1,GL_Cash_Book!$I$2:$I$116,0)),"")</f>
        <v>Cash posting</v>
      </c>
      <c r="E15" s="29">
        <f>IFERROR(INDEX(GL_Cash_Book!E$2:E$116,MATCH(ROW()-1,GL_Cash_Book!$I$2:$I$116,0)),"")</f>
        <v>4034.71</v>
      </c>
      <c r="F15" t="str">
        <f>IFERROR(INDEX(GL_Cash_Book!F$2:F$116,MATCH(ROW()-1,GL_Cash_Book!$I$2:$I$116,0)),"")</f>
        <v>REF-1081|4034.71</v>
      </c>
      <c r="G15" t="str">
        <f>IFERROR(INDEX(GL_Cash_Book!G$2:G$116,MATCH(ROW()-1,GL_Cash_Book!$I$2:$I$116,0)),"")</f>
        <v>Unmatched GL Item</v>
      </c>
      <c r="H15" s="31">
        <f>IFERROR(INDEX(GL_Cash_Book!H$2:H$116,MATCH(ROW()-1,GL_Cash_Book!$I$2:$I$116,0)),"")</f>
        <v>4034.71</v>
      </c>
    </row>
    <row r="16" spans="1:8">
      <c r="A16" t="str">
        <f>IFERROR(INDEX(GL_Cash_Book!A$2:A$116,MATCH(ROW()-1,GL_Cash_Book!$I$2:$I$116,0)),"")</f>
        <v>GL-0070</v>
      </c>
      <c r="B16" s="28">
        <f>IFERROR(INDEX(GL_Cash_Book!B$2:B$116,MATCH(ROW()-1,GL_Cash_Book!$I$2:$I$116,0)),"")</f>
        <v>46172</v>
      </c>
      <c r="C16" t="str">
        <f>IFERROR(INDEX(GL_Cash_Book!C$2:C$116,MATCH(ROW()-1,GL_Cash_Book!$I$2:$I$116,0)),"")</f>
        <v>REF-1084</v>
      </c>
      <c r="D16" t="str">
        <f>IFERROR(INDEX(GL_Cash_Book!D$2:D$116,MATCH(ROW()-1,GL_Cash_Book!$I$2:$I$116,0)),"")</f>
        <v>Cash posting</v>
      </c>
      <c r="E16" s="29">
        <f>IFERROR(INDEX(GL_Cash_Book!E$2:E$116,MATCH(ROW()-1,GL_Cash_Book!$I$2:$I$116,0)),"")</f>
        <v>-6268.32</v>
      </c>
      <c r="F16" t="str">
        <f>IFERROR(INDEX(GL_Cash_Book!F$2:F$116,MATCH(ROW()-1,GL_Cash_Book!$I$2:$I$116,0)),"")</f>
        <v>REF-1084|-6268.32</v>
      </c>
      <c r="G16" t="str">
        <f>IFERROR(INDEX(GL_Cash_Book!G$2:G$116,MATCH(ROW()-1,GL_Cash_Book!$I$2:$I$116,0)),"")</f>
        <v>Unmatched GL Item</v>
      </c>
      <c r="H16" s="31">
        <f>IFERROR(INDEX(GL_Cash_Book!H$2:H$116,MATCH(ROW()-1,GL_Cash_Book!$I$2:$I$116,0)),"")</f>
        <v>-6268.32</v>
      </c>
    </row>
    <row r="17" spans="1:8">
      <c r="A17" t="str">
        <f>IFERROR(INDEX(GL_Cash_Book!A$2:A$116,MATCH(ROW()-1,GL_Cash_Book!$I$2:$I$116,0)),"")</f>
        <v>GL-0073</v>
      </c>
      <c r="B17" s="28">
        <f>IFERROR(INDEX(GL_Cash_Book!B$2:B$116,MATCH(ROW()-1,GL_Cash_Book!$I$2:$I$116,0)),"")</f>
        <v>46151</v>
      </c>
      <c r="C17" t="str">
        <f>IFERROR(INDEX(GL_Cash_Book!C$2:C$116,MATCH(ROW()-1,GL_Cash_Book!$I$2:$I$116,0)),"")</f>
        <v>REF-1088</v>
      </c>
      <c r="D17" t="str">
        <f>IFERROR(INDEX(GL_Cash_Book!D$2:D$116,MATCH(ROW()-1,GL_Cash_Book!$I$2:$I$116,0)),"")</f>
        <v>Cash posting</v>
      </c>
      <c r="E17" s="29">
        <f>IFERROR(INDEX(GL_Cash_Book!E$2:E$116,MATCH(ROW()-1,GL_Cash_Book!$I$2:$I$116,0)),"")</f>
        <v>6492.88</v>
      </c>
      <c r="F17" t="str">
        <f>IFERROR(INDEX(GL_Cash_Book!F$2:F$116,MATCH(ROW()-1,GL_Cash_Book!$I$2:$I$116,0)),"")</f>
        <v>REF-1088|6492.88</v>
      </c>
      <c r="G17" t="str">
        <f>IFERROR(INDEX(GL_Cash_Book!G$2:G$116,MATCH(ROW()-1,GL_Cash_Book!$I$2:$I$116,0)),"")</f>
        <v>Unmatched GL Item</v>
      </c>
      <c r="H17" s="31">
        <f>IFERROR(INDEX(GL_Cash_Book!H$2:H$116,MATCH(ROW()-1,GL_Cash_Book!$I$2:$I$116,0)),"")</f>
        <v>6492.88</v>
      </c>
    </row>
    <row r="18" spans="1:8">
      <c r="A18" t="str">
        <f>IFERROR(INDEX(GL_Cash_Book!A$2:A$116,MATCH(ROW()-1,GL_Cash_Book!$I$2:$I$116,0)),"")</f>
        <v>GL-0074</v>
      </c>
      <c r="B18" s="28">
        <f>IFERROR(INDEX(GL_Cash_Book!B$2:B$116,MATCH(ROW()-1,GL_Cash_Book!$I$2:$I$116,0)),"")</f>
        <v>46165</v>
      </c>
      <c r="C18" t="str">
        <f>IFERROR(INDEX(GL_Cash_Book!C$2:C$116,MATCH(ROW()-1,GL_Cash_Book!$I$2:$I$116,0)),"")</f>
        <v>REF-1089</v>
      </c>
      <c r="D18" t="str">
        <f>IFERROR(INDEX(GL_Cash_Book!D$2:D$116,MATCH(ROW()-1,GL_Cash_Book!$I$2:$I$116,0)),"")</f>
        <v>Cash posting</v>
      </c>
      <c r="E18" s="29">
        <f>IFERROR(INDEX(GL_Cash_Book!E$2:E$116,MATCH(ROW()-1,GL_Cash_Book!$I$2:$I$116,0)),"")</f>
        <v>1161.47</v>
      </c>
      <c r="F18" t="str">
        <f>IFERROR(INDEX(GL_Cash_Book!F$2:F$116,MATCH(ROW()-1,GL_Cash_Book!$I$2:$I$116,0)),"")</f>
        <v>REF-1089|1161.47</v>
      </c>
      <c r="G18" t="str">
        <f>IFERROR(INDEX(GL_Cash_Book!G$2:G$116,MATCH(ROW()-1,GL_Cash_Book!$I$2:$I$116,0)),"")</f>
        <v>Unmatched GL Item</v>
      </c>
      <c r="H18" s="31">
        <f>IFERROR(INDEX(GL_Cash_Book!H$2:H$116,MATCH(ROW()-1,GL_Cash_Book!$I$2:$I$116,0)),"")</f>
        <v>1161.47</v>
      </c>
    </row>
    <row r="19" spans="1:8">
      <c r="A19" t="str">
        <f>IFERROR(INDEX(GL_Cash_Book!A$2:A$116,MATCH(ROW()-1,GL_Cash_Book!$I$2:$I$116,0)),"")</f>
        <v>GL-0078</v>
      </c>
      <c r="B19" s="28">
        <f>IFERROR(INDEX(GL_Cash_Book!B$2:B$116,MATCH(ROW()-1,GL_Cash_Book!$I$2:$I$116,0)),"")</f>
        <v>46160</v>
      </c>
      <c r="C19" t="str">
        <f>IFERROR(INDEX(GL_Cash_Book!C$2:C$116,MATCH(ROW()-1,GL_Cash_Book!$I$2:$I$116,0)),"")</f>
        <v>REF-1094</v>
      </c>
      <c r="D19" t="str">
        <f>IFERROR(INDEX(GL_Cash_Book!D$2:D$116,MATCH(ROW()-1,GL_Cash_Book!$I$2:$I$116,0)),"")</f>
        <v>Cash posting</v>
      </c>
      <c r="E19" s="29">
        <f>IFERROR(INDEX(GL_Cash_Book!E$2:E$116,MATCH(ROW()-1,GL_Cash_Book!$I$2:$I$116,0)),"")</f>
        <v>10810.73</v>
      </c>
      <c r="F19" t="str">
        <f>IFERROR(INDEX(GL_Cash_Book!F$2:F$116,MATCH(ROW()-1,GL_Cash_Book!$I$2:$I$116,0)),"")</f>
        <v>REF-1094|10810.73</v>
      </c>
      <c r="G19" t="str">
        <f>IFERROR(INDEX(GL_Cash_Book!G$2:G$116,MATCH(ROW()-1,GL_Cash_Book!$I$2:$I$116,0)),"")</f>
        <v>Unmatched GL Item</v>
      </c>
      <c r="H19" s="31">
        <f>IFERROR(INDEX(GL_Cash_Book!H$2:H$116,MATCH(ROW()-1,GL_Cash_Book!$I$2:$I$116,0)),"")</f>
        <v>10810.73</v>
      </c>
    </row>
    <row r="20" spans="1:8">
      <c r="A20" t="str">
        <f>IFERROR(INDEX(GL_Cash_Book!A$2:A$116,MATCH(ROW()-1,GL_Cash_Book!$I$2:$I$116,0)),"")</f>
        <v>GL-0084</v>
      </c>
      <c r="B20" s="28">
        <f>IFERROR(INDEX(GL_Cash_Book!B$2:B$116,MATCH(ROW()-1,GL_Cash_Book!$I$2:$I$116,0)),"")</f>
        <v>46143</v>
      </c>
      <c r="C20" t="str">
        <f>IFERROR(INDEX(GL_Cash_Book!C$2:C$116,MATCH(ROW()-1,GL_Cash_Book!$I$2:$I$116,0)),"")</f>
        <v>REF-1100</v>
      </c>
      <c r="D20" t="str">
        <f>IFERROR(INDEX(GL_Cash_Book!D$2:D$116,MATCH(ROW()-1,GL_Cash_Book!$I$2:$I$116,0)),"")</f>
        <v>Cash posting</v>
      </c>
      <c r="E20" s="29">
        <f>IFERROR(INDEX(GL_Cash_Book!E$2:E$116,MATCH(ROW()-1,GL_Cash_Book!$I$2:$I$116,0)),"")</f>
        <v>13673.86</v>
      </c>
      <c r="F20" t="str">
        <f>IFERROR(INDEX(GL_Cash_Book!F$2:F$116,MATCH(ROW()-1,GL_Cash_Book!$I$2:$I$116,0)),"")</f>
        <v>REF-1100|13673.86</v>
      </c>
      <c r="G20" t="str">
        <f>IFERROR(INDEX(GL_Cash_Book!G$2:G$116,MATCH(ROW()-1,GL_Cash_Book!$I$2:$I$116,0)),"")</f>
        <v>Unmatched GL Item</v>
      </c>
      <c r="H20" s="31">
        <f>IFERROR(INDEX(GL_Cash_Book!H$2:H$116,MATCH(ROW()-1,GL_Cash_Book!$I$2:$I$116,0)),"")</f>
        <v>13673.86</v>
      </c>
    </row>
    <row r="21" spans="1:8">
      <c r="A21" t="str">
        <f>IFERROR(INDEX(GL_Cash_Book!A$2:A$116,MATCH(ROW()-1,GL_Cash_Book!$I$2:$I$116,0)),"")</f>
        <v>GL-0093</v>
      </c>
      <c r="B21" s="28">
        <f>IFERROR(INDEX(GL_Cash_Book!B$2:B$116,MATCH(ROW()-1,GL_Cash_Book!$I$2:$I$116,0)),"")</f>
        <v>46147</v>
      </c>
      <c r="C21" t="str">
        <f>IFERROR(INDEX(GL_Cash_Book!C$2:C$116,MATCH(ROW()-1,GL_Cash_Book!$I$2:$I$116,0)),"")</f>
        <v>REF-1110</v>
      </c>
      <c r="D21" t="str">
        <f>IFERROR(INDEX(GL_Cash_Book!D$2:D$116,MATCH(ROW()-1,GL_Cash_Book!$I$2:$I$116,0)),"")</f>
        <v>Cash posting</v>
      </c>
      <c r="E21" s="29">
        <f>IFERROR(INDEX(GL_Cash_Book!E$2:E$116,MATCH(ROW()-1,GL_Cash_Book!$I$2:$I$116,0)),"")</f>
        <v>9410.76</v>
      </c>
      <c r="F21" t="str">
        <f>IFERROR(INDEX(GL_Cash_Book!F$2:F$116,MATCH(ROW()-1,GL_Cash_Book!$I$2:$I$116,0)),"")</f>
        <v>REF-1110|9410.76</v>
      </c>
      <c r="G21" t="str">
        <f>IFERROR(INDEX(GL_Cash_Book!G$2:G$116,MATCH(ROW()-1,GL_Cash_Book!$I$2:$I$116,0)),"")</f>
        <v>Unmatched GL Item</v>
      </c>
      <c r="H21" s="31">
        <f>IFERROR(INDEX(GL_Cash_Book!H$2:H$116,MATCH(ROW()-1,GL_Cash_Book!$I$2:$I$116,0)),"")</f>
        <v>9410.76</v>
      </c>
    </row>
    <row r="22" spans="1:8">
      <c r="A22" t="str">
        <f>IFERROR(INDEX(GL_Cash_Book!A$2:A$116,MATCH(ROW()-1,GL_Cash_Book!$I$2:$I$116,0)),"")</f>
        <v>GL-0101</v>
      </c>
      <c r="B22" s="28">
        <f>IFERROR(INDEX(GL_Cash_Book!B$2:B$116,MATCH(ROW()-1,GL_Cash_Book!$I$2:$I$116,0)),"")</f>
        <v>46154</v>
      </c>
      <c r="C22" t="str">
        <f>IFERROR(INDEX(GL_Cash_Book!C$2:C$116,MATCH(ROW()-1,GL_Cash_Book!$I$2:$I$116,0)),"")</f>
        <v>GLONLY-101</v>
      </c>
      <c r="D22" t="str">
        <f>IFERROR(INDEX(GL_Cash_Book!D$2:D$116,MATCH(ROW()-1,GL_Cash_Book!$I$2:$I$116,0)),"")</f>
        <v>Manual entry</v>
      </c>
      <c r="E22" s="29">
        <f>IFERROR(INDEX(GL_Cash_Book!E$2:E$116,MATCH(ROW()-1,GL_Cash_Book!$I$2:$I$116,0)),"")</f>
        <v>-469.1</v>
      </c>
      <c r="F22" t="str">
        <f>IFERROR(INDEX(GL_Cash_Book!F$2:F$116,MATCH(ROW()-1,GL_Cash_Book!$I$2:$I$116,0)),"")</f>
        <v>GLONLY-101|-469.1</v>
      </c>
      <c r="G22" t="str">
        <f>IFERROR(INDEX(GL_Cash_Book!G$2:G$116,MATCH(ROW()-1,GL_Cash_Book!$I$2:$I$116,0)),"")</f>
        <v>Unmatched GL Item</v>
      </c>
      <c r="H22" s="31">
        <f>IFERROR(INDEX(GL_Cash_Book!H$2:H$116,MATCH(ROW()-1,GL_Cash_Book!$I$2:$I$116,0)),"")</f>
        <v>-469.1</v>
      </c>
    </row>
    <row r="23" spans="1:8">
      <c r="A23" t="str">
        <f>IFERROR(INDEX(GL_Cash_Book!A$2:A$116,MATCH(ROW()-1,GL_Cash_Book!$I$2:$I$116,0)),"")</f>
        <v>GL-0102</v>
      </c>
      <c r="B23" s="28">
        <f>IFERROR(INDEX(GL_Cash_Book!B$2:B$116,MATCH(ROW()-1,GL_Cash_Book!$I$2:$I$116,0)),"")</f>
        <v>46173</v>
      </c>
      <c r="C23" t="str">
        <f>IFERROR(INDEX(GL_Cash_Book!C$2:C$116,MATCH(ROW()-1,GL_Cash_Book!$I$2:$I$116,0)),"")</f>
        <v>GLONLY-102</v>
      </c>
      <c r="D23" t="str">
        <f>IFERROR(INDEX(GL_Cash_Book!D$2:D$116,MATCH(ROW()-1,GL_Cash_Book!$I$2:$I$116,0)),"")</f>
        <v>Manual entry</v>
      </c>
      <c r="E23" s="29">
        <f>IFERROR(INDEX(GL_Cash_Book!E$2:E$116,MATCH(ROW()-1,GL_Cash_Book!$I$2:$I$116,0)),"")</f>
        <v>2347.23</v>
      </c>
      <c r="F23" t="str">
        <f>IFERROR(INDEX(GL_Cash_Book!F$2:F$116,MATCH(ROW()-1,GL_Cash_Book!$I$2:$I$116,0)),"")</f>
        <v>GLONLY-102|2347.23</v>
      </c>
      <c r="G23" t="str">
        <f>IFERROR(INDEX(GL_Cash_Book!G$2:G$116,MATCH(ROW()-1,GL_Cash_Book!$I$2:$I$116,0)),"")</f>
        <v>Unmatched GL Item</v>
      </c>
      <c r="H23" s="31">
        <f>IFERROR(INDEX(GL_Cash_Book!H$2:H$116,MATCH(ROW()-1,GL_Cash_Book!$I$2:$I$116,0)),"")</f>
        <v>2347.23</v>
      </c>
    </row>
    <row r="24" spans="1:8">
      <c r="A24" t="str">
        <f>IFERROR(INDEX(GL_Cash_Book!A$2:A$116,MATCH(ROW()-1,GL_Cash_Book!$I$2:$I$116,0)),"")</f>
        <v>GL-0103</v>
      </c>
      <c r="B24" s="28">
        <f>IFERROR(INDEX(GL_Cash_Book!B$2:B$116,MATCH(ROW()-1,GL_Cash_Book!$I$2:$I$116,0)),"")</f>
        <v>46166</v>
      </c>
      <c r="C24" t="str">
        <f>IFERROR(INDEX(GL_Cash_Book!C$2:C$116,MATCH(ROW()-1,GL_Cash_Book!$I$2:$I$116,0)),"")</f>
        <v>GLONLY-103</v>
      </c>
      <c r="D24" t="str">
        <f>IFERROR(INDEX(GL_Cash_Book!D$2:D$116,MATCH(ROW()-1,GL_Cash_Book!$I$2:$I$116,0)),"")</f>
        <v>Manual entry</v>
      </c>
      <c r="E24" s="29">
        <f>IFERROR(INDEX(GL_Cash_Book!E$2:E$116,MATCH(ROW()-1,GL_Cash_Book!$I$2:$I$116,0)),"")</f>
        <v>1476.67</v>
      </c>
      <c r="F24" t="str">
        <f>IFERROR(INDEX(GL_Cash_Book!F$2:F$116,MATCH(ROW()-1,GL_Cash_Book!$I$2:$I$116,0)),"")</f>
        <v>GLONLY-103|1476.67</v>
      </c>
      <c r="G24" t="str">
        <f>IFERROR(INDEX(GL_Cash_Book!G$2:G$116,MATCH(ROW()-1,GL_Cash_Book!$I$2:$I$116,0)),"")</f>
        <v>Unmatched GL Item</v>
      </c>
      <c r="H24" s="31">
        <f>IFERROR(INDEX(GL_Cash_Book!H$2:H$116,MATCH(ROW()-1,GL_Cash_Book!$I$2:$I$116,0)),"")</f>
        <v>1476.67</v>
      </c>
    </row>
    <row r="25" spans="1:8">
      <c r="A25" t="str">
        <f>IFERROR(INDEX(GL_Cash_Book!A$2:A$116,MATCH(ROW()-1,GL_Cash_Book!$I$2:$I$116,0)),"")</f>
        <v>GL-0104</v>
      </c>
      <c r="B25" s="28">
        <f>IFERROR(INDEX(GL_Cash_Book!B$2:B$116,MATCH(ROW()-1,GL_Cash_Book!$I$2:$I$116,0)),"")</f>
        <v>46144</v>
      </c>
      <c r="C25" t="str">
        <f>IFERROR(INDEX(GL_Cash_Book!C$2:C$116,MATCH(ROW()-1,GL_Cash_Book!$I$2:$I$116,0)),"")</f>
        <v>GLONLY-104</v>
      </c>
      <c r="D25" t="str">
        <f>IFERROR(INDEX(GL_Cash_Book!D$2:D$116,MATCH(ROW()-1,GL_Cash_Book!$I$2:$I$116,0)),"")</f>
        <v>Manual entry</v>
      </c>
      <c r="E25" s="29">
        <f>IFERROR(INDEX(GL_Cash_Book!E$2:E$116,MATCH(ROW()-1,GL_Cash_Book!$I$2:$I$116,0)),"")</f>
        <v>1743.09</v>
      </c>
      <c r="F25" t="str">
        <f>IFERROR(INDEX(GL_Cash_Book!F$2:F$116,MATCH(ROW()-1,GL_Cash_Book!$I$2:$I$116,0)),"")</f>
        <v>GLONLY-104|1743.09</v>
      </c>
      <c r="G25" t="str">
        <f>IFERROR(INDEX(GL_Cash_Book!G$2:G$116,MATCH(ROW()-1,GL_Cash_Book!$I$2:$I$116,0)),"")</f>
        <v>Unmatched GL Item</v>
      </c>
      <c r="H25" s="31">
        <f>IFERROR(INDEX(GL_Cash_Book!H$2:H$116,MATCH(ROW()-1,GL_Cash_Book!$I$2:$I$116,0)),"")</f>
        <v>1743.09</v>
      </c>
    </row>
    <row r="26" spans="1:8">
      <c r="A26" t="str">
        <f>IFERROR(INDEX(GL_Cash_Book!A$2:A$116,MATCH(ROW()-1,GL_Cash_Book!$I$2:$I$116,0)),"")</f>
        <v>GL-0105</v>
      </c>
      <c r="B26" s="28">
        <f>IFERROR(INDEX(GL_Cash_Book!B$2:B$116,MATCH(ROW()-1,GL_Cash_Book!$I$2:$I$116,0)),"")</f>
        <v>46162</v>
      </c>
      <c r="C26" t="str">
        <f>IFERROR(INDEX(GL_Cash_Book!C$2:C$116,MATCH(ROW()-1,GL_Cash_Book!$I$2:$I$116,0)),"")</f>
        <v>GLONLY-105</v>
      </c>
      <c r="D26" t="str">
        <f>IFERROR(INDEX(GL_Cash_Book!D$2:D$116,MATCH(ROW()-1,GL_Cash_Book!$I$2:$I$116,0)),"")</f>
        <v>Manual entry</v>
      </c>
      <c r="E26" s="29">
        <f>IFERROR(INDEX(GL_Cash_Book!E$2:E$116,MATCH(ROW()-1,GL_Cash_Book!$I$2:$I$116,0)),"")</f>
        <v>298.14999999999998</v>
      </c>
      <c r="F26" t="str">
        <f>IFERROR(INDEX(GL_Cash_Book!F$2:F$116,MATCH(ROW()-1,GL_Cash_Book!$I$2:$I$116,0)),"")</f>
        <v>GLONLY-105|298.15</v>
      </c>
      <c r="G26" t="str">
        <f>IFERROR(INDEX(GL_Cash_Book!G$2:G$116,MATCH(ROW()-1,GL_Cash_Book!$I$2:$I$116,0)),"")</f>
        <v>Unmatched GL Item</v>
      </c>
      <c r="H26" s="31">
        <f>IFERROR(INDEX(GL_Cash_Book!H$2:H$116,MATCH(ROW()-1,GL_Cash_Book!$I$2:$I$116,0)),"")</f>
        <v>298.14999999999998</v>
      </c>
    </row>
    <row r="27" spans="1:8">
      <c r="A27" t="str">
        <f>IFERROR(INDEX(GL_Cash_Book!A$2:A$116,MATCH(ROW()-1,GL_Cash_Book!$I$2:$I$116,0)),"")</f>
        <v>GL-0106</v>
      </c>
      <c r="B27" s="28">
        <f>IFERROR(INDEX(GL_Cash_Book!B$2:B$116,MATCH(ROW()-1,GL_Cash_Book!$I$2:$I$116,0)),"")</f>
        <v>46159</v>
      </c>
      <c r="C27" t="str">
        <f>IFERROR(INDEX(GL_Cash_Book!C$2:C$116,MATCH(ROW()-1,GL_Cash_Book!$I$2:$I$116,0)),"")</f>
        <v>GLONLY-106</v>
      </c>
      <c r="D27" t="str">
        <f>IFERROR(INDEX(GL_Cash_Book!D$2:D$116,MATCH(ROW()-1,GL_Cash_Book!$I$2:$I$116,0)),"")</f>
        <v>Manual entry</v>
      </c>
      <c r="E27" s="29">
        <f>IFERROR(INDEX(GL_Cash_Book!E$2:E$116,MATCH(ROW()-1,GL_Cash_Book!$I$2:$I$116,0)),"")</f>
        <v>4459.8500000000004</v>
      </c>
      <c r="F27" t="str">
        <f>IFERROR(INDEX(GL_Cash_Book!F$2:F$116,MATCH(ROW()-1,GL_Cash_Book!$I$2:$I$116,0)),"")</f>
        <v>GLONLY-106|4459.85</v>
      </c>
      <c r="G27" t="str">
        <f>IFERROR(INDEX(GL_Cash_Book!G$2:G$116,MATCH(ROW()-1,GL_Cash_Book!$I$2:$I$116,0)),"")</f>
        <v>Unmatched GL Item</v>
      </c>
      <c r="H27" s="31">
        <f>IFERROR(INDEX(GL_Cash_Book!H$2:H$116,MATCH(ROW()-1,GL_Cash_Book!$I$2:$I$116,0)),"")</f>
        <v>4459.8500000000004</v>
      </c>
    </row>
    <row r="28" spans="1:8">
      <c r="A28" t="str">
        <f>IFERROR(INDEX(GL_Cash_Book!A$2:A$116,MATCH(ROW()-1,GL_Cash_Book!$I$2:$I$116,0)),"")</f>
        <v>GL-0107</v>
      </c>
      <c r="B28" s="28">
        <f>IFERROR(INDEX(GL_Cash_Book!B$2:B$116,MATCH(ROW()-1,GL_Cash_Book!$I$2:$I$116,0)),"")</f>
        <v>46157</v>
      </c>
      <c r="C28" t="str">
        <f>IFERROR(INDEX(GL_Cash_Book!C$2:C$116,MATCH(ROW()-1,GL_Cash_Book!$I$2:$I$116,0)),"")</f>
        <v>GLONLY-107</v>
      </c>
      <c r="D28" t="str">
        <f>IFERROR(INDEX(GL_Cash_Book!D$2:D$116,MATCH(ROW()-1,GL_Cash_Book!$I$2:$I$116,0)),"")</f>
        <v>Manual entry</v>
      </c>
      <c r="E28" s="29">
        <f>IFERROR(INDEX(GL_Cash_Book!E$2:E$116,MATCH(ROW()-1,GL_Cash_Book!$I$2:$I$116,0)),"")</f>
        <v>-4960.2299999999996</v>
      </c>
      <c r="F28" t="str">
        <f>IFERROR(INDEX(GL_Cash_Book!F$2:F$116,MATCH(ROW()-1,GL_Cash_Book!$I$2:$I$116,0)),"")</f>
        <v>GLONLY-107|-4960.23</v>
      </c>
      <c r="G28" t="str">
        <f>IFERROR(INDEX(GL_Cash_Book!G$2:G$116,MATCH(ROW()-1,GL_Cash_Book!$I$2:$I$116,0)),"")</f>
        <v>Unmatched GL Item</v>
      </c>
      <c r="H28" s="31">
        <f>IFERROR(INDEX(GL_Cash_Book!H$2:H$116,MATCH(ROW()-1,GL_Cash_Book!$I$2:$I$116,0)),"")</f>
        <v>-4960.2299999999996</v>
      </c>
    </row>
    <row r="29" spans="1:8">
      <c r="A29" t="str">
        <f>IFERROR(INDEX(GL_Cash_Book!A$2:A$116,MATCH(ROW()-1,GL_Cash_Book!$I$2:$I$116,0)),"")</f>
        <v>GL-0108</v>
      </c>
      <c r="B29" s="28">
        <f>IFERROR(INDEX(GL_Cash_Book!B$2:B$116,MATCH(ROW()-1,GL_Cash_Book!$I$2:$I$116,0)),"")</f>
        <v>46147</v>
      </c>
      <c r="C29" t="str">
        <f>IFERROR(INDEX(GL_Cash_Book!C$2:C$116,MATCH(ROW()-1,GL_Cash_Book!$I$2:$I$116,0)),"")</f>
        <v>GLONLY-108</v>
      </c>
      <c r="D29" t="str">
        <f>IFERROR(INDEX(GL_Cash_Book!D$2:D$116,MATCH(ROW()-1,GL_Cash_Book!$I$2:$I$116,0)),"")</f>
        <v>Manual entry</v>
      </c>
      <c r="E29" s="29">
        <f>IFERROR(INDEX(GL_Cash_Book!E$2:E$116,MATCH(ROW()-1,GL_Cash_Book!$I$2:$I$116,0)),"")</f>
        <v>-3002.7</v>
      </c>
      <c r="F29" t="str">
        <f>IFERROR(INDEX(GL_Cash_Book!F$2:F$116,MATCH(ROW()-1,GL_Cash_Book!$I$2:$I$116,0)),"")</f>
        <v>GLONLY-108|-3002.7</v>
      </c>
      <c r="G29" t="str">
        <f>IFERROR(INDEX(GL_Cash_Book!G$2:G$116,MATCH(ROW()-1,GL_Cash_Book!$I$2:$I$116,0)),"")</f>
        <v>Unmatched GL Item</v>
      </c>
      <c r="H29" s="31">
        <f>IFERROR(INDEX(GL_Cash_Book!H$2:H$116,MATCH(ROW()-1,GL_Cash_Book!$I$2:$I$116,0)),"")</f>
        <v>-3002.7</v>
      </c>
    </row>
    <row r="30" spans="1:8">
      <c r="A30" t="str">
        <f>IFERROR(INDEX(GL_Cash_Book!A$2:A$116,MATCH(ROW()-1,GL_Cash_Book!$I$2:$I$116,0)),"")</f>
        <v>GL-0109</v>
      </c>
      <c r="B30" s="28">
        <f>IFERROR(INDEX(GL_Cash_Book!B$2:B$116,MATCH(ROW()-1,GL_Cash_Book!$I$2:$I$116,0)),"")</f>
        <v>46144</v>
      </c>
      <c r="C30" t="str">
        <f>IFERROR(INDEX(GL_Cash_Book!C$2:C$116,MATCH(ROW()-1,GL_Cash_Book!$I$2:$I$116,0)),"")</f>
        <v>GLONLY-109</v>
      </c>
      <c r="D30" t="str">
        <f>IFERROR(INDEX(GL_Cash_Book!D$2:D$116,MATCH(ROW()-1,GL_Cash_Book!$I$2:$I$116,0)),"")</f>
        <v>Manual entry</v>
      </c>
      <c r="E30" s="29">
        <f>IFERROR(INDEX(GL_Cash_Book!E$2:E$116,MATCH(ROW()-1,GL_Cash_Book!$I$2:$I$116,0)),"")</f>
        <v>-3621.96</v>
      </c>
      <c r="F30" t="str">
        <f>IFERROR(INDEX(GL_Cash_Book!F$2:F$116,MATCH(ROW()-1,GL_Cash_Book!$I$2:$I$116,0)),"")</f>
        <v>GLONLY-109|-3621.96</v>
      </c>
      <c r="G30" t="str">
        <f>IFERROR(INDEX(GL_Cash_Book!G$2:G$116,MATCH(ROW()-1,GL_Cash_Book!$I$2:$I$116,0)),"")</f>
        <v>Unmatched GL Item</v>
      </c>
      <c r="H30" s="31">
        <f>IFERROR(INDEX(GL_Cash_Book!H$2:H$116,MATCH(ROW()-1,GL_Cash_Book!$I$2:$I$116,0)),"")</f>
        <v>-3621.96</v>
      </c>
    </row>
    <row r="31" spans="1:8">
      <c r="A31" t="str">
        <f>IFERROR(INDEX(GL_Cash_Book!A$2:A$116,MATCH(ROW()-1,GL_Cash_Book!$I$2:$I$116,0)),"")</f>
        <v>GL-0110</v>
      </c>
      <c r="B31" s="28">
        <f>IFERROR(INDEX(GL_Cash_Book!B$2:B$116,MATCH(ROW()-1,GL_Cash_Book!$I$2:$I$116,0)),"")</f>
        <v>46151</v>
      </c>
      <c r="C31" t="str">
        <f>IFERROR(INDEX(GL_Cash_Book!C$2:C$116,MATCH(ROW()-1,GL_Cash_Book!$I$2:$I$116,0)),"")</f>
        <v>GLONLY-110</v>
      </c>
      <c r="D31" t="str">
        <f>IFERROR(INDEX(GL_Cash_Book!D$2:D$116,MATCH(ROW()-1,GL_Cash_Book!$I$2:$I$116,0)),"")</f>
        <v>Manual entry</v>
      </c>
      <c r="E31" s="29">
        <f>IFERROR(INDEX(GL_Cash_Book!E$2:E$116,MATCH(ROW()-1,GL_Cash_Book!$I$2:$I$116,0)),"")</f>
        <v>2400.77</v>
      </c>
      <c r="F31" t="str">
        <f>IFERROR(INDEX(GL_Cash_Book!F$2:F$116,MATCH(ROW()-1,GL_Cash_Book!$I$2:$I$116,0)),"")</f>
        <v>GLONLY-110|2400.77</v>
      </c>
      <c r="G31" t="str">
        <f>IFERROR(INDEX(GL_Cash_Book!G$2:G$116,MATCH(ROW()-1,GL_Cash_Book!$I$2:$I$116,0)),"")</f>
        <v>Unmatched GL Item</v>
      </c>
      <c r="H31" s="31">
        <f>IFERROR(INDEX(GL_Cash_Book!H$2:H$116,MATCH(ROW()-1,GL_Cash_Book!$I$2:$I$116,0)),"")</f>
        <v>2400.77</v>
      </c>
    </row>
    <row r="32" spans="1:8">
      <c r="A32" t="str">
        <f>IFERROR(INDEX(GL_Cash_Book!A$2:A$116,MATCH(ROW()-1,GL_Cash_Book!$I$2:$I$116,0)),"")</f>
        <v>GL-0111</v>
      </c>
      <c r="B32" s="28">
        <f>IFERROR(INDEX(GL_Cash_Book!B$2:B$116,MATCH(ROW()-1,GL_Cash_Book!$I$2:$I$116,0)),"")</f>
        <v>46160</v>
      </c>
      <c r="C32" t="str">
        <f>IFERROR(INDEX(GL_Cash_Book!C$2:C$116,MATCH(ROW()-1,GL_Cash_Book!$I$2:$I$116,0)),"")</f>
        <v>GLONLY-111</v>
      </c>
      <c r="D32" t="str">
        <f>IFERROR(INDEX(GL_Cash_Book!D$2:D$116,MATCH(ROW()-1,GL_Cash_Book!$I$2:$I$116,0)),"")</f>
        <v>Manual entry</v>
      </c>
      <c r="E32" s="29">
        <f>IFERROR(INDEX(GL_Cash_Book!E$2:E$116,MATCH(ROW()-1,GL_Cash_Book!$I$2:$I$116,0)),"")</f>
        <v>-4315.3100000000004</v>
      </c>
      <c r="F32" t="str">
        <f>IFERROR(INDEX(GL_Cash_Book!F$2:F$116,MATCH(ROW()-1,GL_Cash_Book!$I$2:$I$116,0)),"")</f>
        <v>GLONLY-111|-4315.31</v>
      </c>
      <c r="G32" t="str">
        <f>IFERROR(INDEX(GL_Cash_Book!G$2:G$116,MATCH(ROW()-1,GL_Cash_Book!$I$2:$I$116,0)),"")</f>
        <v>Unmatched GL Item</v>
      </c>
      <c r="H32" s="31">
        <f>IFERROR(INDEX(GL_Cash_Book!H$2:H$116,MATCH(ROW()-1,GL_Cash_Book!$I$2:$I$116,0)),"")</f>
        <v>-4315.3100000000004</v>
      </c>
    </row>
    <row r="33" spans="1:8">
      <c r="A33" t="str">
        <f>IFERROR(INDEX(GL_Cash_Book!A$2:A$116,MATCH(ROW()-1,GL_Cash_Book!$I$2:$I$116,0)),"")</f>
        <v>GL-0112</v>
      </c>
      <c r="B33" s="28">
        <f>IFERROR(INDEX(GL_Cash_Book!B$2:B$116,MATCH(ROW()-1,GL_Cash_Book!$I$2:$I$116,0)),"")</f>
        <v>46152</v>
      </c>
      <c r="C33" t="str">
        <f>IFERROR(INDEX(GL_Cash_Book!C$2:C$116,MATCH(ROW()-1,GL_Cash_Book!$I$2:$I$116,0)),"")</f>
        <v>GLONLY-112</v>
      </c>
      <c r="D33" t="str">
        <f>IFERROR(INDEX(GL_Cash_Book!D$2:D$116,MATCH(ROW()-1,GL_Cash_Book!$I$2:$I$116,0)),"")</f>
        <v>Manual entry</v>
      </c>
      <c r="E33" s="29">
        <f>IFERROR(INDEX(GL_Cash_Book!E$2:E$116,MATCH(ROW()-1,GL_Cash_Book!$I$2:$I$116,0)),"")</f>
        <v>-4296.2700000000004</v>
      </c>
      <c r="F33" t="str">
        <f>IFERROR(INDEX(GL_Cash_Book!F$2:F$116,MATCH(ROW()-1,GL_Cash_Book!$I$2:$I$116,0)),"")</f>
        <v>GLONLY-112|-4296.27</v>
      </c>
      <c r="G33" t="str">
        <f>IFERROR(INDEX(GL_Cash_Book!G$2:G$116,MATCH(ROW()-1,GL_Cash_Book!$I$2:$I$116,0)),"")</f>
        <v>Unmatched GL Item</v>
      </c>
      <c r="H33" s="31">
        <f>IFERROR(INDEX(GL_Cash_Book!H$2:H$116,MATCH(ROW()-1,GL_Cash_Book!$I$2:$I$116,0)),"")</f>
        <v>-4296.2700000000004</v>
      </c>
    </row>
    <row r="34" spans="1:8">
      <c r="A34" t="str">
        <f>IFERROR(INDEX(GL_Cash_Book!A$2:A$116,MATCH(ROW()-1,GL_Cash_Book!$I$2:$I$116,0)),"")</f>
        <v>GL-0113</v>
      </c>
      <c r="B34" s="28">
        <f>IFERROR(INDEX(GL_Cash_Book!B$2:B$116,MATCH(ROW()-1,GL_Cash_Book!$I$2:$I$116,0)),"")</f>
        <v>46157</v>
      </c>
      <c r="C34" t="str">
        <f>IFERROR(INDEX(GL_Cash_Book!C$2:C$116,MATCH(ROW()-1,GL_Cash_Book!$I$2:$I$116,0)),"")</f>
        <v>GLONLY-113</v>
      </c>
      <c r="D34" t="str">
        <f>IFERROR(INDEX(GL_Cash_Book!D$2:D$116,MATCH(ROW()-1,GL_Cash_Book!$I$2:$I$116,0)),"")</f>
        <v>Manual entry</v>
      </c>
      <c r="E34" s="29">
        <f>IFERROR(INDEX(GL_Cash_Book!E$2:E$116,MATCH(ROW()-1,GL_Cash_Book!$I$2:$I$116,0)),"")</f>
        <v>2406.4699999999998</v>
      </c>
      <c r="F34" t="str">
        <f>IFERROR(INDEX(GL_Cash_Book!F$2:F$116,MATCH(ROW()-1,GL_Cash_Book!$I$2:$I$116,0)),"")</f>
        <v>GLONLY-113|2406.47</v>
      </c>
      <c r="G34" t="str">
        <f>IFERROR(INDEX(GL_Cash_Book!G$2:G$116,MATCH(ROW()-1,GL_Cash_Book!$I$2:$I$116,0)),"")</f>
        <v>Unmatched GL Item</v>
      </c>
      <c r="H34" s="31">
        <f>IFERROR(INDEX(GL_Cash_Book!H$2:H$116,MATCH(ROW()-1,GL_Cash_Book!$I$2:$I$116,0)),"")</f>
        <v>2406.4699999999998</v>
      </c>
    </row>
    <row r="35" spans="1:8">
      <c r="A35" t="str">
        <f>IFERROR(INDEX(GL_Cash_Book!A$2:A$116,MATCH(ROW()-1,GL_Cash_Book!$I$2:$I$116,0)),"")</f>
        <v>GL-0114</v>
      </c>
      <c r="B35" s="28">
        <f>IFERROR(INDEX(GL_Cash_Book!B$2:B$116,MATCH(ROW()-1,GL_Cash_Book!$I$2:$I$116,0)),"")</f>
        <v>46158</v>
      </c>
      <c r="C35" t="str">
        <f>IFERROR(INDEX(GL_Cash_Book!C$2:C$116,MATCH(ROW()-1,GL_Cash_Book!$I$2:$I$116,0)),"")</f>
        <v>GLONLY-114</v>
      </c>
      <c r="D35" t="str">
        <f>IFERROR(INDEX(GL_Cash_Book!D$2:D$116,MATCH(ROW()-1,GL_Cash_Book!$I$2:$I$116,0)),"")</f>
        <v>Manual entry</v>
      </c>
      <c r="E35" s="29">
        <f>IFERROR(INDEX(GL_Cash_Book!E$2:E$116,MATCH(ROW()-1,GL_Cash_Book!$I$2:$I$116,0)),"")</f>
        <v>-2323.16</v>
      </c>
      <c r="F35" t="str">
        <f>IFERROR(INDEX(GL_Cash_Book!F$2:F$116,MATCH(ROW()-1,GL_Cash_Book!$I$2:$I$116,0)),"")</f>
        <v>GLONLY-114|-2323.16</v>
      </c>
      <c r="G35" t="str">
        <f>IFERROR(INDEX(GL_Cash_Book!G$2:G$116,MATCH(ROW()-1,GL_Cash_Book!$I$2:$I$116,0)),"")</f>
        <v>Unmatched GL Item</v>
      </c>
      <c r="H35" s="31">
        <f>IFERROR(INDEX(GL_Cash_Book!H$2:H$116,MATCH(ROW()-1,GL_Cash_Book!$I$2:$I$116,0)),"")</f>
        <v>-2323.16</v>
      </c>
    </row>
    <row r="36" spans="1:8">
      <c r="A36" t="str">
        <f>IFERROR(INDEX(GL_Cash_Book!A$2:A$116,MATCH(ROW()-1,GL_Cash_Book!$I$2:$I$116,0)),"")</f>
        <v>GL-0115</v>
      </c>
      <c r="B36" s="28">
        <f>IFERROR(INDEX(GL_Cash_Book!B$2:B$116,MATCH(ROW()-1,GL_Cash_Book!$I$2:$I$116,0)),"")</f>
        <v>46153</v>
      </c>
      <c r="C36" t="str">
        <f>IFERROR(INDEX(GL_Cash_Book!C$2:C$116,MATCH(ROW()-1,GL_Cash_Book!$I$2:$I$116,0)),"")</f>
        <v>GLONLY-115</v>
      </c>
      <c r="D36" t="str">
        <f>IFERROR(INDEX(GL_Cash_Book!D$2:D$116,MATCH(ROW()-1,GL_Cash_Book!$I$2:$I$116,0)),"")</f>
        <v>Manual entry</v>
      </c>
      <c r="E36" s="29">
        <f>IFERROR(INDEX(GL_Cash_Book!E$2:E$116,MATCH(ROW()-1,GL_Cash_Book!$I$2:$I$116,0)),"")</f>
        <v>-3168.24</v>
      </c>
      <c r="F36" t="str">
        <f>IFERROR(INDEX(GL_Cash_Book!F$2:F$116,MATCH(ROW()-1,GL_Cash_Book!$I$2:$I$116,0)),"")</f>
        <v>GLONLY-115|-3168.24</v>
      </c>
      <c r="G36" t="str">
        <f>IFERROR(INDEX(GL_Cash_Book!G$2:G$116,MATCH(ROW()-1,GL_Cash_Book!$I$2:$I$116,0)),"")</f>
        <v>Unmatched GL Item</v>
      </c>
      <c r="H36" s="31">
        <f>IFERROR(INDEX(GL_Cash_Book!H$2:H$116,MATCH(ROW()-1,GL_Cash_Book!$I$2:$I$116,0)),"")</f>
        <v>-3168.24</v>
      </c>
    </row>
    <row r="37" spans="1:8">
      <c r="A37" t="str">
        <f>IFERROR(INDEX(GL_Cash_Book!A$2:A$116,MATCH(ROW()-1,GL_Cash_Book!$I$2:$I$116,0)),"")</f>
        <v/>
      </c>
      <c r="B37" s="28" t="str">
        <f>IFERROR(INDEX(GL_Cash_Book!B$2:B$116,MATCH(ROW()-1,GL_Cash_Book!$I$2:$I$116,0)),"")</f>
        <v/>
      </c>
      <c r="C37" t="str">
        <f>IFERROR(INDEX(GL_Cash_Book!C$2:C$116,MATCH(ROW()-1,GL_Cash_Book!$I$2:$I$116,0)),"")</f>
        <v/>
      </c>
      <c r="D37" t="str">
        <f>IFERROR(INDEX(GL_Cash_Book!D$2:D$116,MATCH(ROW()-1,GL_Cash_Book!$I$2:$I$116,0)),"")</f>
        <v/>
      </c>
      <c r="E37" s="29" t="str">
        <f>IFERROR(INDEX(GL_Cash_Book!E$2:E$116,MATCH(ROW()-1,GL_Cash_Book!$I$2:$I$116,0)),"")</f>
        <v/>
      </c>
      <c r="F37" t="str">
        <f>IFERROR(INDEX(GL_Cash_Book!F$2:F$116,MATCH(ROW()-1,GL_Cash_Book!$I$2:$I$116,0)),"")</f>
        <v/>
      </c>
      <c r="G37" t="str">
        <f>IFERROR(INDEX(GL_Cash_Book!G$2:G$116,MATCH(ROW()-1,GL_Cash_Book!$I$2:$I$116,0)),"")</f>
        <v/>
      </c>
      <c r="H37" s="30" t="str">
        <f>IFERROR(INDEX(GL_Cash_Book!H$2:H$116,MATCH(ROW()-1,GL_Cash_Book!$I$2:$I$116,0)),"")</f>
        <v/>
      </c>
    </row>
    <row r="38" spans="1:8">
      <c r="A38" t="str">
        <f>IFERROR(INDEX(GL_Cash_Book!A$2:A$116,MATCH(ROW()-1,GL_Cash_Book!$I$2:$I$116,0)),"")</f>
        <v/>
      </c>
      <c r="B38" s="28" t="str">
        <f>IFERROR(INDEX(GL_Cash_Book!B$2:B$116,MATCH(ROW()-1,GL_Cash_Book!$I$2:$I$116,0)),"")</f>
        <v/>
      </c>
      <c r="C38" t="str">
        <f>IFERROR(INDEX(GL_Cash_Book!C$2:C$116,MATCH(ROW()-1,GL_Cash_Book!$I$2:$I$116,0)),"")</f>
        <v/>
      </c>
      <c r="D38" t="str">
        <f>IFERROR(INDEX(GL_Cash_Book!D$2:D$116,MATCH(ROW()-1,GL_Cash_Book!$I$2:$I$116,0)),"")</f>
        <v/>
      </c>
      <c r="E38" s="29" t="str">
        <f>IFERROR(INDEX(GL_Cash_Book!E$2:E$116,MATCH(ROW()-1,GL_Cash_Book!$I$2:$I$116,0)),"")</f>
        <v/>
      </c>
      <c r="F38" t="str">
        <f>IFERROR(INDEX(GL_Cash_Book!F$2:F$116,MATCH(ROW()-1,GL_Cash_Book!$I$2:$I$116,0)),"")</f>
        <v/>
      </c>
      <c r="G38" t="str">
        <f>IFERROR(INDEX(GL_Cash_Book!G$2:G$116,MATCH(ROW()-1,GL_Cash_Book!$I$2:$I$116,0)),"")</f>
        <v/>
      </c>
      <c r="H38" s="30" t="str">
        <f>IFERROR(INDEX(GL_Cash_Book!H$2:H$116,MATCH(ROW()-1,GL_Cash_Book!$I$2:$I$116,0)),"")</f>
        <v/>
      </c>
    </row>
    <row r="39" spans="1:8">
      <c r="A39" t="str">
        <f>IFERROR(INDEX(GL_Cash_Book!A$2:A$116,MATCH(ROW()-1,GL_Cash_Book!$I$2:$I$116,0)),"")</f>
        <v/>
      </c>
      <c r="B39" s="28" t="str">
        <f>IFERROR(INDEX(GL_Cash_Book!B$2:B$116,MATCH(ROW()-1,GL_Cash_Book!$I$2:$I$116,0)),"")</f>
        <v/>
      </c>
      <c r="C39" t="str">
        <f>IFERROR(INDEX(GL_Cash_Book!C$2:C$116,MATCH(ROW()-1,GL_Cash_Book!$I$2:$I$116,0)),"")</f>
        <v/>
      </c>
      <c r="D39" t="str">
        <f>IFERROR(INDEX(GL_Cash_Book!D$2:D$116,MATCH(ROW()-1,GL_Cash_Book!$I$2:$I$116,0)),"")</f>
        <v/>
      </c>
      <c r="E39" s="29" t="str">
        <f>IFERROR(INDEX(GL_Cash_Book!E$2:E$116,MATCH(ROW()-1,GL_Cash_Book!$I$2:$I$116,0)),"")</f>
        <v/>
      </c>
      <c r="F39" t="str">
        <f>IFERROR(INDEX(GL_Cash_Book!F$2:F$116,MATCH(ROW()-1,GL_Cash_Book!$I$2:$I$116,0)),"")</f>
        <v/>
      </c>
      <c r="G39" t="str">
        <f>IFERROR(INDEX(GL_Cash_Book!G$2:G$116,MATCH(ROW()-1,GL_Cash_Book!$I$2:$I$116,0)),"")</f>
        <v/>
      </c>
      <c r="H39" s="30" t="str">
        <f>IFERROR(INDEX(GL_Cash_Book!H$2:H$116,MATCH(ROW()-1,GL_Cash_Book!$I$2:$I$116,0)),"")</f>
        <v/>
      </c>
    </row>
    <row r="40" spans="1:8">
      <c r="A40" t="str">
        <f>IFERROR(INDEX(GL_Cash_Book!A$2:A$116,MATCH(ROW()-1,GL_Cash_Book!$I$2:$I$116,0)),"")</f>
        <v/>
      </c>
      <c r="B40" s="28" t="str">
        <f>IFERROR(INDEX(GL_Cash_Book!B$2:B$116,MATCH(ROW()-1,GL_Cash_Book!$I$2:$I$116,0)),"")</f>
        <v/>
      </c>
      <c r="C40" t="str">
        <f>IFERROR(INDEX(GL_Cash_Book!C$2:C$116,MATCH(ROW()-1,GL_Cash_Book!$I$2:$I$116,0)),"")</f>
        <v/>
      </c>
      <c r="D40" t="str">
        <f>IFERROR(INDEX(GL_Cash_Book!D$2:D$116,MATCH(ROW()-1,GL_Cash_Book!$I$2:$I$116,0)),"")</f>
        <v/>
      </c>
      <c r="E40" s="29" t="str">
        <f>IFERROR(INDEX(GL_Cash_Book!E$2:E$116,MATCH(ROW()-1,GL_Cash_Book!$I$2:$I$116,0)),"")</f>
        <v/>
      </c>
      <c r="F40" t="str">
        <f>IFERROR(INDEX(GL_Cash_Book!F$2:F$116,MATCH(ROW()-1,GL_Cash_Book!$I$2:$I$116,0)),"")</f>
        <v/>
      </c>
      <c r="G40" t="str">
        <f>IFERROR(INDEX(GL_Cash_Book!G$2:G$116,MATCH(ROW()-1,GL_Cash_Book!$I$2:$I$116,0)),"")</f>
        <v/>
      </c>
      <c r="H40" s="30" t="str">
        <f>IFERROR(INDEX(GL_Cash_Book!H$2:H$116,MATCH(ROW()-1,GL_Cash_Book!$I$2:$I$116,0)),"")</f>
        <v/>
      </c>
    </row>
    <row r="41" spans="1:8">
      <c r="A41" t="str">
        <f>IFERROR(INDEX(GL_Cash_Book!A$2:A$116,MATCH(ROW()-1,GL_Cash_Book!$I$2:$I$116,0)),"")</f>
        <v/>
      </c>
      <c r="B41" s="28" t="str">
        <f>IFERROR(INDEX(GL_Cash_Book!B$2:B$116,MATCH(ROW()-1,GL_Cash_Book!$I$2:$I$116,0)),"")</f>
        <v/>
      </c>
      <c r="C41" t="str">
        <f>IFERROR(INDEX(GL_Cash_Book!C$2:C$116,MATCH(ROW()-1,GL_Cash_Book!$I$2:$I$116,0)),"")</f>
        <v/>
      </c>
      <c r="D41" t="str">
        <f>IFERROR(INDEX(GL_Cash_Book!D$2:D$116,MATCH(ROW()-1,GL_Cash_Book!$I$2:$I$116,0)),"")</f>
        <v/>
      </c>
      <c r="E41" s="29" t="str">
        <f>IFERROR(INDEX(GL_Cash_Book!E$2:E$116,MATCH(ROW()-1,GL_Cash_Book!$I$2:$I$116,0)),"")</f>
        <v/>
      </c>
      <c r="F41" t="str">
        <f>IFERROR(INDEX(GL_Cash_Book!F$2:F$116,MATCH(ROW()-1,GL_Cash_Book!$I$2:$I$116,0)),"")</f>
        <v/>
      </c>
      <c r="G41" t="str">
        <f>IFERROR(INDEX(GL_Cash_Book!G$2:G$116,MATCH(ROW()-1,GL_Cash_Book!$I$2:$I$116,0)),"")</f>
        <v/>
      </c>
      <c r="H41" s="30" t="str">
        <f>IFERROR(INDEX(GL_Cash_Book!H$2:H$116,MATCH(ROW()-1,GL_Cash_Book!$I$2:$I$116,0)),"")</f>
        <v/>
      </c>
    </row>
    <row r="42" spans="1:8">
      <c r="A42" t="str">
        <f>IFERROR(INDEX(GL_Cash_Book!A$2:A$116,MATCH(ROW()-1,GL_Cash_Book!$I$2:$I$116,0)),"")</f>
        <v/>
      </c>
      <c r="B42" s="28" t="str">
        <f>IFERROR(INDEX(GL_Cash_Book!B$2:B$116,MATCH(ROW()-1,GL_Cash_Book!$I$2:$I$116,0)),"")</f>
        <v/>
      </c>
      <c r="C42" t="str">
        <f>IFERROR(INDEX(GL_Cash_Book!C$2:C$116,MATCH(ROW()-1,GL_Cash_Book!$I$2:$I$116,0)),"")</f>
        <v/>
      </c>
      <c r="D42" t="str">
        <f>IFERROR(INDEX(GL_Cash_Book!D$2:D$116,MATCH(ROW()-1,GL_Cash_Book!$I$2:$I$116,0)),"")</f>
        <v/>
      </c>
      <c r="E42" s="29" t="str">
        <f>IFERROR(INDEX(GL_Cash_Book!E$2:E$116,MATCH(ROW()-1,GL_Cash_Book!$I$2:$I$116,0)),"")</f>
        <v/>
      </c>
      <c r="F42" t="str">
        <f>IFERROR(INDEX(GL_Cash_Book!F$2:F$116,MATCH(ROW()-1,GL_Cash_Book!$I$2:$I$116,0)),"")</f>
        <v/>
      </c>
      <c r="G42" t="str">
        <f>IFERROR(INDEX(GL_Cash_Book!G$2:G$116,MATCH(ROW()-1,GL_Cash_Book!$I$2:$I$116,0)),"")</f>
        <v/>
      </c>
      <c r="H42" s="30" t="str">
        <f>IFERROR(INDEX(GL_Cash_Book!H$2:H$116,MATCH(ROW()-1,GL_Cash_Book!$I$2:$I$116,0)),"")</f>
        <v/>
      </c>
    </row>
    <row r="43" spans="1:8">
      <c r="A43" t="str">
        <f>IFERROR(INDEX(GL_Cash_Book!A$2:A$116,MATCH(ROW()-1,GL_Cash_Book!$I$2:$I$116,0)),"")</f>
        <v/>
      </c>
      <c r="B43" s="28" t="str">
        <f>IFERROR(INDEX(GL_Cash_Book!B$2:B$116,MATCH(ROW()-1,GL_Cash_Book!$I$2:$I$116,0)),"")</f>
        <v/>
      </c>
      <c r="C43" t="str">
        <f>IFERROR(INDEX(GL_Cash_Book!C$2:C$116,MATCH(ROW()-1,GL_Cash_Book!$I$2:$I$116,0)),"")</f>
        <v/>
      </c>
      <c r="D43" t="str">
        <f>IFERROR(INDEX(GL_Cash_Book!D$2:D$116,MATCH(ROW()-1,GL_Cash_Book!$I$2:$I$116,0)),"")</f>
        <v/>
      </c>
      <c r="E43" s="29" t="str">
        <f>IFERROR(INDEX(GL_Cash_Book!E$2:E$116,MATCH(ROW()-1,GL_Cash_Book!$I$2:$I$116,0)),"")</f>
        <v/>
      </c>
      <c r="F43" t="str">
        <f>IFERROR(INDEX(GL_Cash_Book!F$2:F$116,MATCH(ROW()-1,GL_Cash_Book!$I$2:$I$116,0)),"")</f>
        <v/>
      </c>
      <c r="G43" t="str">
        <f>IFERROR(INDEX(GL_Cash_Book!G$2:G$116,MATCH(ROW()-1,GL_Cash_Book!$I$2:$I$116,0)),"")</f>
        <v/>
      </c>
      <c r="H43" s="30" t="str">
        <f>IFERROR(INDEX(GL_Cash_Book!H$2:H$116,MATCH(ROW()-1,GL_Cash_Book!$I$2:$I$116,0)),"")</f>
        <v/>
      </c>
    </row>
    <row r="44" spans="1:8">
      <c r="A44" t="str">
        <f>IFERROR(INDEX(GL_Cash_Book!A$2:A$116,MATCH(ROW()-1,GL_Cash_Book!$I$2:$I$116,0)),"")</f>
        <v/>
      </c>
      <c r="B44" s="28" t="str">
        <f>IFERROR(INDEX(GL_Cash_Book!B$2:B$116,MATCH(ROW()-1,GL_Cash_Book!$I$2:$I$116,0)),"")</f>
        <v/>
      </c>
      <c r="C44" t="str">
        <f>IFERROR(INDEX(GL_Cash_Book!C$2:C$116,MATCH(ROW()-1,GL_Cash_Book!$I$2:$I$116,0)),"")</f>
        <v/>
      </c>
      <c r="D44" t="str">
        <f>IFERROR(INDEX(GL_Cash_Book!D$2:D$116,MATCH(ROW()-1,GL_Cash_Book!$I$2:$I$116,0)),"")</f>
        <v/>
      </c>
      <c r="E44" s="29" t="str">
        <f>IFERROR(INDEX(GL_Cash_Book!E$2:E$116,MATCH(ROW()-1,GL_Cash_Book!$I$2:$I$116,0)),"")</f>
        <v/>
      </c>
      <c r="F44" t="str">
        <f>IFERROR(INDEX(GL_Cash_Book!F$2:F$116,MATCH(ROW()-1,GL_Cash_Book!$I$2:$I$116,0)),"")</f>
        <v/>
      </c>
      <c r="G44" t="str">
        <f>IFERROR(INDEX(GL_Cash_Book!G$2:G$116,MATCH(ROW()-1,GL_Cash_Book!$I$2:$I$116,0)),"")</f>
        <v/>
      </c>
      <c r="H44" s="30" t="str">
        <f>IFERROR(INDEX(GL_Cash_Book!H$2:H$116,MATCH(ROW()-1,GL_Cash_Book!$I$2:$I$116,0)),"")</f>
        <v/>
      </c>
    </row>
    <row r="45" spans="1:8">
      <c r="A45" t="str">
        <f>IFERROR(INDEX(GL_Cash_Book!A$2:A$116,MATCH(ROW()-1,GL_Cash_Book!$I$2:$I$116,0)),"")</f>
        <v/>
      </c>
      <c r="B45" s="28" t="str">
        <f>IFERROR(INDEX(GL_Cash_Book!B$2:B$116,MATCH(ROW()-1,GL_Cash_Book!$I$2:$I$116,0)),"")</f>
        <v/>
      </c>
      <c r="C45" t="str">
        <f>IFERROR(INDEX(GL_Cash_Book!C$2:C$116,MATCH(ROW()-1,GL_Cash_Book!$I$2:$I$116,0)),"")</f>
        <v/>
      </c>
      <c r="D45" t="str">
        <f>IFERROR(INDEX(GL_Cash_Book!D$2:D$116,MATCH(ROW()-1,GL_Cash_Book!$I$2:$I$116,0)),"")</f>
        <v/>
      </c>
      <c r="E45" s="29" t="str">
        <f>IFERROR(INDEX(GL_Cash_Book!E$2:E$116,MATCH(ROW()-1,GL_Cash_Book!$I$2:$I$116,0)),"")</f>
        <v/>
      </c>
      <c r="F45" t="str">
        <f>IFERROR(INDEX(GL_Cash_Book!F$2:F$116,MATCH(ROW()-1,GL_Cash_Book!$I$2:$I$116,0)),"")</f>
        <v/>
      </c>
      <c r="G45" t="str">
        <f>IFERROR(INDEX(GL_Cash_Book!G$2:G$116,MATCH(ROW()-1,GL_Cash_Book!$I$2:$I$116,0)),"")</f>
        <v/>
      </c>
      <c r="H45" s="30" t="str">
        <f>IFERROR(INDEX(GL_Cash_Book!H$2:H$116,MATCH(ROW()-1,GL_Cash_Book!$I$2:$I$116,0)),"")</f>
        <v/>
      </c>
    </row>
    <row r="46" spans="1:8">
      <c r="A46" t="str">
        <f>IFERROR(INDEX(GL_Cash_Book!A$2:A$116,MATCH(ROW()-1,GL_Cash_Book!$I$2:$I$116,0)),"")</f>
        <v/>
      </c>
      <c r="B46" s="28" t="str">
        <f>IFERROR(INDEX(GL_Cash_Book!B$2:B$116,MATCH(ROW()-1,GL_Cash_Book!$I$2:$I$116,0)),"")</f>
        <v/>
      </c>
      <c r="C46" t="str">
        <f>IFERROR(INDEX(GL_Cash_Book!C$2:C$116,MATCH(ROW()-1,GL_Cash_Book!$I$2:$I$116,0)),"")</f>
        <v/>
      </c>
      <c r="D46" t="str">
        <f>IFERROR(INDEX(GL_Cash_Book!D$2:D$116,MATCH(ROW()-1,GL_Cash_Book!$I$2:$I$116,0)),"")</f>
        <v/>
      </c>
      <c r="E46" s="29" t="str">
        <f>IFERROR(INDEX(GL_Cash_Book!E$2:E$116,MATCH(ROW()-1,GL_Cash_Book!$I$2:$I$116,0)),"")</f>
        <v/>
      </c>
      <c r="F46" t="str">
        <f>IFERROR(INDEX(GL_Cash_Book!F$2:F$116,MATCH(ROW()-1,GL_Cash_Book!$I$2:$I$116,0)),"")</f>
        <v/>
      </c>
      <c r="G46" t="str">
        <f>IFERROR(INDEX(GL_Cash_Book!G$2:G$116,MATCH(ROW()-1,GL_Cash_Book!$I$2:$I$116,0)),"")</f>
        <v/>
      </c>
      <c r="H46" s="30" t="str">
        <f>IFERROR(INDEX(GL_Cash_Book!H$2:H$116,MATCH(ROW()-1,GL_Cash_Book!$I$2:$I$116,0)),"")</f>
        <v/>
      </c>
    </row>
    <row r="47" spans="1:8">
      <c r="A47" t="str">
        <f>IFERROR(INDEX(GL_Cash_Book!A$2:A$116,MATCH(ROW()-1,GL_Cash_Book!$I$2:$I$116,0)),"")</f>
        <v/>
      </c>
      <c r="B47" s="28" t="str">
        <f>IFERROR(INDEX(GL_Cash_Book!B$2:B$116,MATCH(ROW()-1,GL_Cash_Book!$I$2:$I$116,0)),"")</f>
        <v/>
      </c>
      <c r="C47" t="str">
        <f>IFERROR(INDEX(GL_Cash_Book!C$2:C$116,MATCH(ROW()-1,GL_Cash_Book!$I$2:$I$116,0)),"")</f>
        <v/>
      </c>
      <c r="D47" t="str">
        <f>IFERROR(INDEX(GL_Cash_Book!D$2:D$116,MATCH(ROW()-1,GL_Cash_Book!$I$2:$I$116,0)),"")</f>
        <v/>
      </c>
      <c r="E47" s="29" t="str">
        <f>IFERROR(INDEX(GL_Cash_Book!E$2:E$116,MATCH(ROW()-1,GL_Cash_Book!$I$2:$I$116,0)),"")</f>
        <v/>
      </c>
      <c r="F47" t="str">
        <f>IFERROR(INDEX(GL_Cash_Book!F$2:F$116,MATCH(ROW()-1,GL_Cash_Book!$I$2:$I$116,0)),"")</f>
        <v/>
      </c>
      <c r="G47" t="str">
        <f>IFERROR(INDEX(GL_Cash_Book!G$2:G$116,MATCH(ROW()-1,GL_Cash_Book!$I$2:$I$116,0)),"")</f>
        <v/>
      </c>
      <c r="H47" s="30" t="str">
        <f>IFERROR(INDEX(GL_Cash_Book!H$2:H$116,MATCH(ROW()-1,GL_Cash_Book!$I$2:$I$116,0)),"")</f>
        <v/>
      </c>
    </row>
    <row r="48" spans="1:8">
      <c r="A48" t="str">
        <f>IFERROR(INDEX(GL_Cash_Book!A$2:A$116,MATCH(ROW()-1,GL_Cash_Book!$I$2:$I$116,0)),"")</f>
        <v/>
      </c>
      <c r="B48" s="28" t="str">
        <f>IFERROR(INDEX(GL_Cash_Book!B$2:B$116,MATCH(ROW()-1,GL_Cash_Book!$I$2:$I$116,0)),"")</f>
        <v/>
      </c>
      <c r="C48" t="str">
        <f>IFERROR(INDEX(GL_Cash_Book!C$2:C$116,MATCH(ROW()-1,GL_Cash_Book!$I$2:$I$116,0)),"")</f>
        <v/>
      </c>
      <c r="D48" t="str">
        <f>IFERROR(INDEX(GL_Cash_Book!D$2:D$116,MATCH(ROW()-1,GL_Cash_Book!$I$2:$I$116,0)),"")</f>
        <v/>
      </c>
      <c r="E48" s="29" t="str">
        <f>IFERROR(INDEX(GL_Cash_Book!E$2:E$116,MATCH(ROW()-1,GL_Cash_Book!$I$2:$I$116,0)),"")</f>
        <v/>
      </c>
      <c r="F48" t="str">
        <f>IFERROR(INDEX(GL_Cash_Book!F$2:F$116,MATCH(ROW()-1,GL_Cash_Book!$I$2:$I$116,0)),"")</f>
        <v/>
      </c>
      <c r="G48" t="str">
        <f>IFERROR(INDEX(GL_Cash_Book!G$2:G$116,MATCH(ROW()-1,GL_Cash_Book!$I$2:$I$116,0)),"")</f>
        <v/>
      </c>
      <c r="H48" s="30" t="str">
        <f>IFERROR(INDEX(GL_Cash_Book!H$2:H$116,MATCH(ROW()-1,GL_Cash_Book!$I$2:$I$116,0)),"")</f>
        <v/>
      </c>
    </row>
    <row r="49" spans="1:8">
      <c r="A49" t="str">
        <f>IFERROR(INDEX(GL_Cash_Book!A$2:A$116,MATCH(ROW()-1,GL_Cash_Book!$I$2:$I$116,0)),"")</f>
        <v/>
      </c>
      <c r="B49" s="28" t="str">
        <f>IFERROR(INDEX(GL_Cash_Book!B$2:B$116,MATCH(ROW()-1,GL_Cash_Book!$I$2:$I$116,0)),"")</f>
        <v/>
      </c>
      <c r="C49" t="str">
        <f>IFERROR(INDEX(GL_Cash_Book!C$2:C$116,MATCH(ROW()-1,GL_Cash_Book!$I$2:$I$116,0)),"")</f>
        <v/>
      </c>
      <c r="D49" t="str">
        <f>IFERROR(INDEX(GL_Cash_Book!D$2:D$116,MATCH(ROW()-1,GL_Cash_Book!$I$2:$I$116,0)),"")</f>
        <v/>
      </c>
      <c r="E49" s="29" t="str">
        <f>IFERROR(INDEX(GL_Cash_Book!E$2:E$116,MATCH(ROW()-1,GL_Cash_Book!$I$2:$I$116,0)),"")</f>
        <v/>
      </c>
      <c r="F49" t="str">
        <f>IFERROR(INDEX(GL_Cash_Book!F$2:F$116,MATCH(ROW()-1,GL_Cash_Book!$I$2:$I$116,0)),"")</f>
        <v/>
      </c>
      <c r="G49" t="str">
        <f>IFERROR(INDEX(GL_Cash_Book!G$2:G$116,MATCH(ROW()-1,GL_Cash_Book!$I$2:$I$116,0)),"")</f>
        <v/>
      </c>
      <c r="H49" s="30" t="str">
        <f>IFERROR(INDEX(GL_Cash_Book!H$2:H$116,MATCH(ROW()-1,GL_Cash_Book!$I$2:$I$116,0)),"")</f>
        <v/>
      </c>
    </row>
    <row r="50" spans="1:8">
      <c r="A50" t="str">
        <f>IFERROR(INDEX(GL_Cash_Book!A$2:A$116,MATCH(ROW()-1,GL_Cash_Book!$I$2:$I$116,0)),"")</f>
        <v/>
      </c>
      <c r="B50" s="28" t="str">
        <f>IFERROR(INDEX(GL_Cash_Book!B$2:B$116,MATCH(ROW()-1,GL_Cash_Book!$I$2:$I$116,0)),"")</f>
        <v/>
      </c>
      <c r="C50" t="str">
        <f>IFERROR(INDEX(GL_Cash_Book!C$2:C$116,MATCH(ROW()-1,GL_Cash_Book!$I$2:$I$116,0)),"")</f>
        <v/>
      </c>
      <c r="D50" t="str">
        <f>IFERROR(INDEX(GL_Cash_Book!D$2:D$116,MATCH(ROW()-1,GL_Cash_Book!$I$2:$I$116,0)),"")</f>
        <v/>
      </c>
      <c r="E50" s="29" t="str">
        <f>IFERROR(INDEX(GL_Cash_Book!E$2:E$116,MATCH(ROW()-1,GL_Cash_Book!$I$2:$I$116,0)),"")</f>
        <v/>
      </c>
      <c r="F50" t="str">
        <f>IFERROR(INDEX(GL_Cash_Book!F$2:F$116,MATCH(ROW()-1,GL_Cash_Book!$I$2:$I$116,0)),"")</f>
        <v/>
      </c>
      <c r="G50" t="str">
        <f>IFERROR(INDEX(GL_Cash_Book!G$2:G$116,MATCH(ROW()-1,GL_Cash_Book!$I$2:$I$116,0)),"")</f>
        <v/>
      </c>
      <c r="H50" s="30" t="str">
        <f>IFERROR(INDEX(GL_Cash_Book!H$2:H$116,MATCH(ROW()-1,GL_Cash_Book!$I$2:$I$116,0)),"")</f>
        <v/>
      </c>
    </row>
    <row r="51" spans="1:8">
      <c r="A51" t="str">
        <f>IFERROR(INDEX(GL_Cash_Book!A$2:A$116,MATCH(ROW()-1,GL_Cash_Book!$I$2:$I$116,0)),"")</f>
        <v/>
      </c>
      <c r="B51" s="28" t="str">
        <f>IFERROR(INDEX(GL_Cash_Book!B$2:B$116,MATCH(ROW()-1,GL_Cash_Book!$I$2:$I$116,0)),"")</f>
        <v/>
      </c>
      <c r="C51" t="str">
        <f>IFERROR(INDEX(GL_Cash_Book!C$2:C$116,MATCH(ROW()-1,GL_Cash_Book!$I$2:$I$116,0)),"")</f>
        <v/>
      </c>
      <c r="D51" t="str">
        <f>IFERROR(INDEX(GL_Cash_Book!D$2:D$116,MATCH(ROW()-1,GL_Cash_Book!$I$2:$I$116,0)),"")</f>
        <v/>
      </c>
      <c r="E51" s="29" t="str">
        <f>IFERROR(INDEX(GL_Cash_Book!E$2:E$116,MATCH(ROW()-1,GL_Cash_Book!$I$2:$I$116,0)),"")</f>
        <v/>
      </c>
      <c r="F51" t="str">
        <f>IFERROR(INDEX(GL_Cash_Book!F$2:F$116,MATCH(ROW()-1,GL_Cash_Book!$I$2:$I$116,0)),"")</f>
        <v/>
      </c>
      <c r="G51" t="str">
        <f>IFERROR(INDEX(GL_Cash_Book!G$2:G$116,MATCH(ROW()-1,GL_Cash_Book!$I$2:$I$116,0)),"")</f>
        <v/>
      </c>
      <c r="H51" s="30" t="str">
        <f>IFERROR(INDEX(GL_Cash_Book!H$2:H$116,MATCH(ROW()-1,GL_Cash_Book!$I$2:$I$116,0)),"")</f>
        <v/>
      </c>
    </row>
    <row r="52" spans="1:8">
      <c r="A52" t="str">
        <f>IFERROR(INDEX(GL_Cash_Book!A$2:A$116,MATCH(ROW()-1,GL_Cash_Book!$I$2:$I$116,0)),"")</f>
        <v/>
      </c>
      <c r="B52" s="28" t="str">
        <f>IFERROR(INDEX(GL_Cash_Book!B$2:B$116,MATCH(ROW()-1,GL_Cash_Book!$I$2:$I$116,0)),"")</f>
        <v/>
      </c>
      <c r="C52" t="str">
        <f>IFERROR(INDEX(GL_Cash_Book!C$2:C$116,MATCH(ROW()-1,GL_Cash_Book!$I$2:$I$116,0)),"")</f>
        <v/>
      </c>
      <c r="D52" t="str">
        <f>IFERROR(INDEX(GL_Cash_Book!D$2:D$116,MATCH(ROW()-1,GL_Cash_Book!$I$2:$I$116,0)),"")</f>
        <v/>
      </c>
      <c r="E52" s="29" t="str">
        <f>IFERROR(INDEX(GL_Cash_Book!E$2:E$116,MATCH(ROW()-1,GL_Cash_Book!$I$2:$I$116,0)),"")</f>
        <v/>
      </c>
      <c r="F52" t="str">
        <f>IFERROR(INDEX(GL_Cash_Book!F$2:F$116,MATCH(ROW()-1,GL_Cash_Book!$I$2:$I$116,0)),"")</f>
        <v/>
      </c>
      <c r="G52" t="str">
        <f>IFERROR(INDEX(GL_Cash_Book!G$2:G$116,MATCH(ROW()-1,GL_Cash_Book!$I$2:$I$116,0)),"")</f>
        <v/>
      </c>
      <c r="H52" s="30" t="str">
        <f>IFERROR(INDEX(GL_Cash_Book!H$2:H$116,MATCH(ROW()-1,GL_Cash_Book!$I$2:$I$116,0)),"")</f>
        <v/>
      </c>
    </row>
    <row r="53" spans="1:8">
      <c r="A53" t="str">
        <f>IFERROR(INDEX(GL_Cash_Book!A$2:A$116,MATCH(ROW()-1,GL_Cash_Book!$I$2:$I$116,0)),"")</f>
        <v/>
      </c>
      <c r="B53" s="28" t="str">
        <f>IFERROR(INDEX(GL_Cash_Book!B$2:B$116,MATCH(ROW()-1,GL_Cash_Book!$I$2:$I$116,0)),"")</f>
        <v/>
      </c>
      <c r="C53" t="str">
        <f>IFERROR(INDEX(GL_Cash_Book!C$2:C$116,MATCH(ROW()-1,GL_Cash_Book!$I$2:$I$116,0)),"")</f>
        <v/>
      </c>
      <c r="D53" t="str">
        <f>IFERROR(INDEX(GL_Cash_Book!D$2:D$116,MATCH(ROW()-1,GL_Cash_Book!$I$2:$I$116,0)),"")</f>
        <v/>
      </c>
      <c r="E53" s="29" t="str">
        <f>IFERROR(INDEX(GL_Cash_Book!E$2:E$116,MATCH(ROW()-1,GL_Cash_Book!$I$2:$I$116,0)),"")</f>
        <v/>
      </c>
      <c r="F53" t="str">
        <f>IFERROR(INDEX(GL_Cash_Book!F$2:F$116,MATCH(ROW()-1,GL_Cash_Book!$I$2:$I$116,0)),"")</f>
        <v/>
      </c>
      <c r="G53" t="str">
        <f>IFERROR(INDEX(GL_Cash_Book!G$2:G$116,MATCH(ROW()-1,GL_Cash_Book!$I$2:$I$116,0)),"")</f>
        <v/>
      </c>
      <c r="H53" s="30" t="str">
        <f>IFERROR(INDEX(GL_Cash_Book!H$2:H$116,MATCH(ROW()-1,GL_Cash_Book!$I$2:$I$116,0)),"")</f>
        <v/>
      </c>
    </row>
    <row r="54" spans="1:8">
      <c r="A54" t="str">
        <f>IFERROR(INDEX(GL_Cash_Book!A$2:A$116,MATCH(ROW()-1,GL_Cash_Book!$I$2:$I$116,0)),"")</f>
        <v/>
      </c>
      <c r="B54" s="28" t="str">
        <f>IFERROR(INDEX(GL_Cash_Book!B$2:B$116,MATCH(ROW()-1,GL_Cash_Book!$I$2:$I$116,0)),"")</f>
        <v/>
      </c>
      <c r="C54" t="str">
        <f>IFERROR(INDEX(GL_Cash_Book!C$2:C$116,MATCH(ROW()-1,GL_Cash_Book!$I$2:$I$116,0)),"")</f>
        <v/>
      </c>
      <c r="D54" t="str">
        <f>IFERROR(INDEX(GL_Cash_Book!D$2:D$116,MATCH(ROW()-1,GL_Cash_Book!$I$2:$I$116,0)),"")</f>
        <v/>
      </c>
      <c r="E54" s="29" t="str">
        <f>IFERROR(INDEX(GL_Cash_Book!E$2:E$116,MATCH(ROW()-1,GL_Cash_Book!$I$2:$I$116,0)),"")</f>
        <v/>
      </c>
      <c r="F54" t="str">
        <f>IFERROR(INDEX(GL_Cash_Book!F$2:F$116,MATCH(ROW()-1,GL_Cash_Book!$I$2:$I$116,0)),"")</f>
        <v/>
      </c>
      <c r="G54" t="str">
        <f>IFERROR(INDEX(GL_Cash_Book!G$2:G$116,MATCH(ROW()-1,GL_Cash_Book!$I$2:$I$116,0)),"")</f>
        <v/>
      </c>
      <c r="H54" s="30" t="str">
        <f>IFERROR(INDEX(GL_Cash_Book!H$2:H$116,MATCH(ROW()-1,GL_Cash_Book!$I$2:$I$116,0)),"")</f>
        <v/>
      </c>
    </row>
    <row r="55" spans="1:8">
      <c r="A55" t="str">
        <f>IFERROR(INDEX(GL_Cash_Book!A$2:A$116,MATCH(ROW()-1,GL_Cash_Book!$I$2:$I$116,0)),"")</f>
        <v/>
      </c>
      <c r="B55" s="28" t="str">
        <f>IFERROR(INDEX(GL_Cash_Book!B$2:B$116,MATCH(ROW()-1,GL_Cash_Book!$I$2:$I$116,0)),"")</f>
        <v/>
      </c>
      <c r="C55" t="str">
        <f>IFERROR(INDEX(GL_Cash_Book!C$2:C$116,MATCH(ROW()-1,GL_Cash_Book!$I$2:$I$116,0)),"")</f>
        <v/>
      </c>
      <c r="D55" t="str">
        <f>IFERROR(INDEX(GL_Cash_Book!D$2:D$116,MATCH(ROW()-1,GL_Cash_Book!$I$2:$I$116,0)),"")</f>
        <v/>
      </c>
      <c r="E55" s="29" t="str">
        <f>IFERROR(INDEX(GL_Cash_Book!E$2:E$116,MATCH(ROW()-1,GL_Cash_Book!$I$2:$I$116,0)),"")</f>
        <v/>
      </c>
      <c r="F55" t="str">
        <f>IFERROR(INDEX(GL_Cash_Book!F$2:F$116,MATCH(ROW()-1,GL_Cash_Book!$I$2:$I$116,0)),"")</f>
        <v/>
      </c>
      <c r="G55" t="str">
        <f>IFERROR(INDEX(GL_Cash_Book!G$2:G$116,MATCH(ROW()-1,GL_Cash_Book!$I$2:$I$116,0)),"")</f>
        <v/>
      </c>
      <c r="H55" s="30" t="str">
        <f>IFERROR(INDEX(GL_Cash_Book!H$2:H$116,MATCH(ROW()-1,GL_Cash_Book!$I$2:$I$116,0)),"")</f>
        <v/>
      </c>
    </row>
    <row r="56" spans="1:8">
      <c r="A56" t="str">
        <f>IFERROR(INDEX(GL_Cash_Book!A$2:A$116,MATCH(ROW()-1,GL_Cash_Book!$I$2:$I$116,0)),"")</f>
        <v/>
      </c>
      <c r="B56" s="28" t="str">
        <f>IFERROR(INDEX(GL_Cash_Book!B$2:B$116,MATCH(ROW()-1,GL_Cash_Book!$I$2:$I$116,0)),"")</f>
        <v/>
      </c>
      <c r="C56" t="str">
        <f>IFERROR(INDEX(GL_Cash_Book!C$2:C$116,MATCH(ROW()-1,GL_Cash_Book!$I$2:$I$116,0)),"")</f>
        <v/>
      </c>
      <c r="D56" t="str">
        <f>IFERROR(INDEX(GL_Cash_Book!D$2:D$116,MATCH(ROW()-1,GL_Cash_Book!$I$2:$I$116,0)),"")</f>
        <v/>
      </c>
      <c r="E56" s="29" t="str">
        <f>IFERROR(INDEX(GL_Cash_Book!E$2:E$116,MATCH(ROW()-1,GL_Cash_Book!$I$2:$I$116,0)),"")</f>
        <v/>
      </c>
      <c r="F56" t="str">
        <f>IFERROR(INDEX(GL_Cash_Book!F$2:F$116,MATCH(ROW()-1,GL_Cash_Book!$I$2:$I$116,0)),"")</f>
        <v/>
      </c>
      <c r="G56" t="str">
        <f>IFERROR(INDEX(GL_Cash_Book!G$2:G$116,MATCH(ROW()-1,GL_Cash_Book!$I$2:$I$116,0)),"")</f>
        <v/>
      </c>
      <c r="H56" s="30" t="str">
        <f>IFERROR(INDEX(GL_Cash_Book!H$2:H$116,MATCH(ROW()-1,GL_Cash_Book!$I$2:$I$116,0)),"")</f>
        <v/>
      </c>
    </row>
    <row r="57" spans="1:8">
      <c r="A57" t="str">
        <f>IFERROR(INDEX(GL_Cash_Book!A$2:A$116,MATCH(ROW()-1,GL_Cash_Book!$I$2:$I$116,0)),"")</f>
        <v/>
      </c>
      <c r="B57" s="28" t="str">
        <f>IFERROR(INDEX(GL_Cash_Book!B$2:B$116,MATCH(ROW()-1,GL_Cash_Book!$I$2:$I$116,0)),"")</f>
        <v/>
      </c>
      <c r="C57" t="str">
        <f>IFERROR(INDEX(GL_Cash_Book!C$2:C$116,MATCH(ROW()-1,GL_Cash_Book!$I$2:$I$116,0)),"")</f>
        <v/>
      </c>
      <c r="D57" t="str">
        <f>IFERROR(INDEX(GL_Cash_Book!D$2:D$116,MATCH(ROW()-1,GL_Cash_Book!$I$2:$I$116,0)),"")</f>
        <v/>
      </c>
      <c r="E57" s="29" t="str">
        <f>IFERROR(INDEX(GL_Cash_Book!E$2:E$116,MATCH(ROW()-1,GL_Cash_Book!$I$2:$I$116,0)),"")</f>
        <v/>
      </c>
      <c r="F57" t="str">
        <f>IFERROR(INDEX(GL_Cash_Book!F$2:F$116,MATCH(ROW()-1,GL_Cash_Book!$I$2:$I$116,0)),"")</f>
        <v/>
      </c>
      <c r="G57" t="str">
        <f>IFERROR(INDEX(GL_Cash_Book!G$2:G$116,MATCH(ROW()-1,GL_Cash_Book!$I$2:$I$116,0)),"")</f>
        <v/>
      </c>
      <c r="H57" s="30" t="str">
        <f>IFERROR(INDEX(GL_Cash_Book!H$2:H$116,MATCH(ROW()-1,GL_Cash_Book!$I$2:$I$116,0)),"")</f>
        <v/>
      </c>
    </row>
    <row r="58" spans="1:8">
      <c r="A58" t="str">
        <f>IFERROR(INDEX(GL_Cash_Book!A$2:A$116,MATCH(ROW()-1,GL_Cash_Book!$I$2:$I$116,0)),"")</f>
        <v/>
      </c>
      <c r="B58" s="28" t="str">
        <f>IFERROR(INDEX(GL_Cash_Book!B$2:B$116,MATCH(ROW()-1,GL_Cash_Book!$I$2:$I$116,0)),"")</f>
        <v/>
      </c>
      <c r="C58" t="str">
        <f>IFERROR(INDEX(GL_Cash_Book!C$2:C$116,MATCH(ROW()-1,GL_Cash_Book!$I$2:$I$116,0)),"")</f>
        <v/>
      </c>
      <c r="D58" t="str">
        <f>IFERROR(INDEX(GL_Cash_Book!D$2:D$116,MATCH(ROW()-1,GL_Cash_Book!$I$2:$I$116,0)),"")</f>
        <v/>
      </c>
      <c r="E58" s="29" t="str">
        <f>IFERROR(INDEX(GL_Cash_Book!E$2:E$116,MATCH(ROW()-1,GL_Cash_Book!$I$2:$I$116,0)),"")</f>
        <v/>
      </c>
      <c r="F58" t="str">
        <f>IFERROR(INDEX(GL_Cash_Book!F$2:F$116,MATCH(ROW()-1,GL_Cash_Book!$I$2:$I$116,0)),"")</f>
        <v/>
      </c>
      <c r="G58" t="str">
        <f>IFERROR(INDEX(GL_Cash_Book!G$2:G$116,MATCH(ROW()-1,GL_Cash_Book!$I$2:$I$116,0)),"")</f>
        <v/>
      </c>
      <c r="H58" s="30" t="str">
        <f>IFERROR(INDEX(GL_Cash_Book!H$2:H$116,MATCH(ROW()-1,GL_Cash_Book!$I$2:$I$116,0)),"")</f>
        <v/>
      </c>
    </row>
    <row r="59" spans="1:8">
      <c r="A59" t="str">
        <f>IFERROR(INDEX(GL_Cash_Book!A$2:A$116,MATCH(ROW()-1,GL_Cash_Book!$I$2:$I$116,0)),"")</f>
        <v/>
      </c>
      <c r="B59" s="28" t="str">
        <f>IFERROR(INDEX(GL_Cash_Book!B$2:B$116,MATCH(ROW()-1,GL_Cash_Book!$I$2:$I$116,0)),"")</f>
        <v/>
      </c>
      <c r="C59" t="str">
        <f>IFERROR(INDEX(GL_Cash_Book!C$2:C$116,MATCH(ROW()-1,GL_Cash_Book!$I$2:$I$116,0)),"")</f>
        <v/>
      </c>
      <c r="D59" t="str">
        <f>IFERROR(INDEX(GL_Cash_Book!D$2:D$116,MATCH(ROW()-1,GL_Cash_Book!$I$2:$I$116,0)),"")</f>
        <v/>
      </c>
      <c r="E59" s="29" t="str">
        <f>IFERROR(INDEX(GL_Cash_Book!E$2:E$116,MATCH(ROW()-1,GL_Cash_Book!$I$2:$I$116,0)),"")</f>
        <v/>
      </c>
      <c r="F59" t="str">
        <f>IFERROR(INDEX(GL_Cash_Book!F$2:F$116,MATCH(ROW()-1,GL_Cash_Book!$I$2:$I$116,0)),"")</f>
        <v/>
      </c>
      <c r="G59" t="str">
        <f>IFERROR(INDEX(GL_Cash_Book!G$2:G$116,MATCH(ROW()-1,GL_Cash_Book!$I$2:$I$116,0)),"")</f>
        <v/>
      </c>
      <c r="H59" s="30" t="str">
        <f>IFERROR(INDEX(GL_Cash_Book!H$2:H$116,MATCH(ROW()-1,GL_Cash_Book!$I$2:$I$116,0)),"")</f>
        <v/>
      </c>
    </row>
    <row r="60" spans="1:8">
      <c r="A60" t="str">
        <f>IFERROR(INDEX(GL_Cash_Book!A$2:A$116,MATCH(ROW()-1,GL_Cash_Book!$I$2:$I$116,0)),"")</f>
        <v/>
      </c>
      <c r="B60" s="28" t="str">
        <f>IFERROR(INDEX(GL_Cash_Book!B$2:B$116,MATCH(ROW()-1,GL_Cash_Book!$I$2:$I$116,0)),"")</f>
        <v/>
      </c>
      <c r="C60" t="str">
        <f>IFERROR(INDEX(GL_Cash_Book!C$2:C$116,MATCH(ROW()-1,GL_Cash_Book!$I$2:$I$116,0)),"")</f>
        <v/>
      </c>
      <c r="D60" t="str">
        <f>IFERROR(INDEX(GL_Cash_Book!D$2:D$116,MATCH(ROW()-1,GL_Cash_Book!$I$2:$I$116,0)),"")</f>
        <v/>
      </c>
      <c r="E60" s="29" t="str">
        <f>IFERROR(INDEX(GL_Cash_Book!E$2:E$116,MATCH(ROW()-1,GL_Cash_Book!$I$2:$I$116,0)),"")</f>
        <v/>
      </c>
      <c r="F60" t="str">
        <f>IFERROR(INDEX(GL_Cash_Book!F$2:F$116,MATCH(ROW()-1,GL_Cash_Book!$I$2:$I$116,0)),"")</f>
        <v/>
      </c>
      <c r="G60" t="str">
        <f>IFERROR(INDEX(GL_Cash_Book!G$2:G$116,MATCH(ROW()-1,GL_Cash_Book!$I$2:$I$116,0)),"")</f>
        <v/>
      </c>
      <c r="H60" s="30" t="str">
        <f>IFERROR(INDEX(GL_Cash_Book!H$2:H$116,MATCH(ROW()-1,GL_Cash_Book!$I$2:$I$116,0)),"")</f>
        <v/>
      </c>
    </row>
    <row r="61" spans="1:8">
      <c r="A61" t="str">
        <f>IFERROR(INDEX(GL_Cash_Book!A$2:A$116,MATCH(ROW()-1,GL_Cash_Book!$I$2:$I$116,0)),"")</f>
        <v/>
      </c>
      <c r="B61" s="28" t="str">
        <f>IFERROR(INDEX(GL_Cash_Book!B$2:B$116,MATCH(ROW()-1,GL_Cash_Book!$I$2:$I$116,0)),"")</f>
        <v/>
      </c>
      <c r="C61" t="str">
        <f>IFERROR(INDEX(GL_Cash_Book!C$2:C$116,MATCH(ROW()-1,GL_Cash_Book!$I$2:$I$116,0)),"")</f>
        <v/>
      </c>
      <c r="D61" t="str">
        <f>IFERROR(INDEX(GL_Cash_Book!D$2:D$116,MATCH(ROW()-1,GL_Cash_Book!$I$2:$I$116,0)),"")</f>
        <v/>
      </c>
      <c r="E61" s="29" t="str">
        <f>IFERROR(INDEX(GL_Cash_Book!E$2:E$116,MATCH(ROW()-1,GL_Cash_Book!$I$2:$I$116,0)),"")</f>
        <v/>
      </c>
      <c r="F61" t="str">
        <f>IFERROR(INDEX(GL_Cash_Book!F$2:F$116,MATCH(ROW()-1,GL_Cash_Book!$I$2:$I$116,0)),"")</f>
        <v/>
      </c>
      <c r="G61" t="str">
        <f>IFERROR(INDEX(GL_Cash_Book!G$2:G$116,MATCH(ROW()-1,GL_Cash_Book!$I$2:$I$116,0)),"")</f>
        <v/>
      </c>
      <c r="H61" s="30" t="str">
        <f>IFERROR(INDEX(GL_Cash_Book!H$2:H$116,MATCH(ROW()-1,GL_Cash_Book!$I$2:$I$116,0)),"")</f>
        <v/>
      </c>
    </row>
    <row r="62" spans="1:8">
      <c r="A62" t="str">
        <f>IFERROR(INDEX(GL_Cash_Book!A$2:A$116,MATCH(ROW()-1,GL_Cash_Book!$I$2:$I$116,0)),"")</f>
        <v/>
      </c>
      <c r="B62" s="28" t="str">
        <f>IFERROR(INDEX(GL_Cash_Book!B$2:B$116,MATCH(ROW()-1,GL_Cash_Book!$I$2:$I$116,0)),"")</f>
        <v/>
      </c>
      <c r="C62" t="str">
        <f>IFERROR(INDEX(GL_Cash_Book!C$2:C$116,MATCH(ROW()-1,GL_Cash_Book!$I$2:$I$116,0)),"")</f>
        <v/>
      </c>
      <c r="D62" t="str">
        <f>IFERROR(INDEX(GL_Cash_Book!D$2:D$116,MATCH(ROW()-1,GL_Cash_Book!$I$2:$I$116,0)),"")</f>
        <v/>
      </c>
      <c r="E62" s="29" t="str">
        <f>IFERROR(INDEX(GL_Cash_Book!E$2:E$116,MATCH(ROW()-1,GL_Cash_Book!$I$2:$I$116,0)),"")</f>
        <v/>
      </c>
      <c r="F62" t="str">
        <f>IFERROR(INDEX(GL_Cash_Book!F$2:F$116,MATCH(ROW()-1,GL_Cash_Book!$I$2:$I$116,0)),"")</f>
        <v/>
      </c>
      <c r="G62" t="str">
        <f>IFERROR(INDEX(GL_Cash_Book!G$2:G$116,MATCH(ROW()-1,GL_Cash_Book!$I$2:$I$116,0)),"")</f>
        <v/>
      </c>
      <c r="H62" s="30" t="str">
        <f>IFERROR(INDEX(GL_Cash_Book!H$2:H$116,MATCH(ROW()-1,GL_Cash_Book!$I$2:$I$116,0)),"")</f>
        <v/>
      </c>
    </row>
    <row r="63" spans="1:8">
      <c r="A63" t="str">
        <f>IFERROR(INDEX(GL_Cash_Book!A$2:A$116,MATCH(ROW()-1,GL_Cash_Book!$I$2:$I$116,0)),"")</f>
        <v/>
      </c>
      <c r="B63" s="28" t="str">
        <f>IFERROR(INDEX(GL_Cash_Book!B$2:B$116,MATCH(ROW()-1,GL_Cash_Book!$I$2:$I$116,0)),"")</f>
        <v/>
      </c>
      <c r="C63" t="str">
        <f>IFERROR(INDEX(GL_Cash_Book!C$2:C$116,MATCH(ROW()-1,GL_Cash_Book!$I$2:$I$116,0)),"")</f>
        <v/>
      </c>
      <c r="D63" t="str">
        <f>IFERROR(INDEX(GL_Cash_Book!D$2:D$116,MATCH(ROW()-1,GL_Cash_Book!$I$2:$I$116,0)),"")</f>
        <v/>
      </c>
      <c r="E63" s="29" t="str">
        <f>IFERROR(INDEX(GL_Cash_Book!E$2:E$116,MATCH(ROW()-1,GL_Cash_Book!$I$2:$I$116,0)),"")</f>
        <v/>
      </c>
      <c r="F63" t="str">
        <f>IFERROR(INDEX(GL_Cash_Book!F$2:F$116,MATCH(ROW()-1,GL_Cash_Book!$I$2:$I$116,0)),"")</f>
        <v/>
      </c>
      <c r="G63" t="str">
        <f>IFERROR(INDEX(GL_Cash_Book!G$2:G$116,MATCH(ROW()-1,GL_Cash_Book!$I$2:$I$116,0)),"")</f>
        <v/>
      </c>
      <c r="H63" s="30" t="str">
        <f>IFERROR(INDEX(GL_Cash_Book!H$2:H$116,MATCH(ROW()-1,GL_Cash_Book!$I$2:$I$116,0)),"")</f>
        <v/>
      </c>
    </row>
    <row r="64" spans="1:8">
      <c r="A64" t="str">
        <f>IFERROR(INDEX(GL_Cash_Book!A$2:A$116,MATCH(ROW()-1,GL_Cash_Book!$I$2:$I$116,0)),"")</f>
        <v/>
      </c>
      <c r="B64" s="28" t="str">
        <f>IFERROR(INDEX(GL_Cash_Book!B$2:B$116,MATCH(ROW()-1,GL_Cash_Book!$I$2:$I$116,0)),"")</f>
        <v/>
      </c>
      <c r="C64" t="str">
        <f>IFERROR(INDEX(GL_Cash_Book!C$2:C$116,MATCH(ROW()-1,GL_Cash_Book!$I$2:$I$116,0)),"")</f>
        <v/>
      </c>
      <c r="D64" t="str">
        <f>IFERROR(INDEX(GL_Cash_Book!D$2:D$116,MATCH(ROW()-1,GL_Cash_Book!$I$2:$I$116,0)),"")</f>
        <v/>
      </c>
      <c r="E64" s="29" t="str">
        <f>IFERROR(INDEX(GL_Cash_Book!E$2:E$116,MATCH(ROW()-1,GL_Cash_Book!$I$2:$I$116,0)),"")</f>
        <v/>
      </c>
      <c r="F64" t="str">
        <f>IFERROR(INDEX(GL_Cash_Book!F$2:F$116,MATCH(ROW()-1,GL_Cash_Book!$I$2:$I$116,0)),"")</f>
        <v/>
      </c>
      <c r="G64" t="str">
        <f>IFERROR(INDEX(GL_Cash_Book!G$2:G$116,MATCH(ROW()-1,GL_Cash_Book!$I$2:$I$116,0)),"")</f>
        <v/>
      </c>
      <c r="H64" s="30" t="str">
        <f>IFERROR(INDEX(GL_Cash_Book!H$2:H$116,MATCH(ROW()-1,GL_Cash_Book!$I$2:$I$116,0)),"")</f>
        <v/>
      </c>
    </row>
    <row r="65" spans="1:8">
      <c r="A65" t="str">
        <f>IFERROR(INDEX(GL_Cash_Book!A$2:A$116,MATCH(ROW()-1,GL_Cash_Book!$I$2:$I$116,0)),"")</f>
        <v/>
      </c>
      <c r="B65" s="28" t="str">
        <f>IFERROR(INDEX(GL_Cash_Book!B$2:B$116,MATCH(ROW()-1,GL_Cash_Book!$I$2:$I$116,0)),"")</f>
        <v/>
      </c>
      <c r="C65" t="str">
        <f>IFERROR(INDEX(GL_Cash_Book!C$2:C$116,MATCH(ROW()-1,GL_Cash_Book!$I$2:$I$116,0)),"")</f>
        <v/>
      </c>
      <c r="D65" t="str">
        <f>IFERROR(INDEX(GL_Cash_Book!D$2:D$116,MATCH(ROW()-1,GL_Cash_Book!$I$2:$I$116,0)),"")</f>
        <v/>
      </c>
      <c r="E65" s="29" t="str">
        <f>IFERROR(INDEX(GL_Cash_Book!E$2:E$116,MATCH(ROW()-1,GL_Cash_Book!$I$2:$I$116,0)),"")</f>
        <v/>
      </c>
      <c r="F65" t="str">
        <f>IFERROR(INDEX(GL_Cash_Book!F$2:F$116,MATCH(ROW()-1,GL_Cash_Book!$I$2:$I$116,0)),"")</f>
        <v/>
      </c>
      <c r="G65" t="str">
        <f>IFERROR(INDEX(GL_Cash_Book!G$2:G$116,MATCH(ROW()-1,GL_Cash_Book!$I$2:$I$116,0)),"")</f>
        <v/>
      </c>
      <c r="H65" s="30" t="str">
        <f>IFERROR(INDEX(GL_Cash_Book!H$2:H$116,MATCH(ROW()-1,GL_Cash_Book!$I$2:$I$116,0)),"")</f>
        <v/>
      </c>
    </row>
    <row r="66" spans="1:8">
      <c r="A66" t="str">
        <f>IFERROR(INDEX(GL_Cash_Book!A$2:A$116,MATCH(ROW()-1,GL_Cash_Book!$I$2:$I$116,0)),"")</f>
        <v/>
      </c>
      <c r="B66" s="28" t="str">
        <f>IFERROR(INDEX(GL_Cash_Book!B$2:B$116,MATCH(ROW()-1,GL_Cash_Book!$I$2:$I$116,0)),"")</f>
        <v/>
      </c>
      <c r="C66" t="str">
        <f>IFERROR(INDEX(GL_Cash_Book!C$2:C$116,MATCH(ROW()-1,GL_Cash_Book!$I$2:$I$116,0)),"")</f>
        <v/>
      </c>
      <c r="D66" t="str">
        <f>IFERROR(INDEX(GL_Cash_Book!D$2:D$116,MATCH(ROW()-1,GL_Cash_Book!$I$2:$I$116,0)),"")</f>
        <v/>
      </c>
      <c r="E66" s="29" t="str">
        <f>IFERROR(INDEX(GL_Cash_Book!E$2:E$116,MATCH(ROW()-1,GL_Cash_Book!$I$2:$I$116,0)),"")</f>
        <v/>
      </c>
      <c r="F66" t="str">
        <f>IFERROR(INDEX(GL_Cash_Book!F$2:F$116,MATCH(ROW()-1,GL_Cash_Book!$I$2:$I$116,0)),"")</f>
        <v/>
      </c>
      <c r="G66" t="str">
        <f>IFERROR(INDEX(GL_Cash_Book!G$2:G$116,MATCH(ROW()-1,GL_Cash_Book!$I$2:$I$116,0)),"")</f>
        <v/>
      </c>
      <c r="H66" s="30" t="str">
        <f>IFERROR(INDEX(GL_Cash_Book!H$2:H$116,MATCH(ROW()-1,GL_Cash_Book!$I$2:$I$116,0)),"")</f>
        <v/>
      </c>
    </row>
    <row r="67" spans="1:8">
      <c r="A67" t="str">
        <f>IFERROR(INDEX(GL_Cash_Book!A$2:A$116,MATCH(ROW()-1,GL_Cash_Book!$I$2:$I$116,0)),"")</f>
        <v/>
      </c>
      <c r="B67" s="28" t="str">
        <f>IFERROR(INDEX(GL_Cash_Book!B$2:B$116,MATCH(ROW()-1,GL_Cash_Book!$I$2:$I$116,0)),"")</f>
        <v/>
      </c>
      <c r="C67" t="str">
        <f>IFERROR(INDEX(GL_Cash_Book!C$2:C$116,MATCH(ROW()-1,GL_Cash_Book!$I$2:$I$116,0)),"")</f>
        <v/>
      </c>
      <c r="D67" t="str">
        <f>IFERROR(INDEX(GL_Cash_Book!D$2:D$116,MATCH(ROW()-1,GL_Cash_Book!$I$2:$I$116,0)),"")</f>
        <v/>
      </c>
      <c r="E67" s="29" t="str">
        <f>IFERROR(INDEX(GL_Cash_Book!E$2:E$116,MATCH(ROW()-1,GL_Cash_Book!$I$2:$I$116,0)),"")</f>
        <v/>
      </c>
      <c r="F67" t="str">
        <f>IFERROR(INDEX(GL_Cash_Book!F$2:F$116,MATCH(ROW()-1,GL_Cash_Book!$I$2:$I$116,0)),"")</f>
        <v/>
      </c>
      <c r="G67" t="str">
        <f>IFERROR(INDEX(GL_Cash_Book!G$2:G$116,MATCH(ROW()-1,GL_Cash_Book!$I$2:$I$116,0)),"")</f>
        <v/>
      </c>
      <c r="H67" s="30" t="str">
        <f>IFERROR(INDEX(GL_Cash_Book!H$2:H$116,MATCH(ROW()-1,GL_Cash_Book!$I$2:$I$116,0)),"")</f>
        <v/>
      </c>
    </row>
    <row r="68" spans="1:8">
      <c r="A68" t="str">
        <f>IFERROR(INDEX(GL_Cash_Book!A$2:A$116,MATCH(ROW()-1,GL_Cash_Book!$I$2:$I$116,0)),"")</f>
        <v/>
      </c>
      <c r="B68" s="28" t="str">
        <f>IFERROR(INDEX(GL_Cash_Book!B$2:B$116,MATCH(ROW()-1,GL_Cash_Book!$I$2:$I$116,0)),"")</f>
        <v/>
      </c>
      <c r="C68" t="str">
        <f>IFERROR(INDEX(GL_Cash_Book!C$2:C$116,MATCH(ROW()-1,GL_Cash_Book!$I$2:$I$116,0)),"")</f>
        <v/>
      </c>
      <c r="D68" t="str">
        <f>IFERROR(INDEX(GL_Cash_Book!D$2:D$116,MATCH(ROW()-1,GL_Cash_Book!$I$2:$I$116,0)),"")</f>
        <v/>
      </c>
      <c r="E68" s="29" t="str">
        <f>IFERROR(INDEX(GL_Cash_Book!E$2:E$116,MATCH(ROW()-1,GL_Cash_Book!$I$2:$I$116,0)),"")</f>
        <v/>
      </c>
      <c r="F68" t="str">
        <f>IFERROR(INDEX(GL_Cash_Book!F$2:F$116,MATCH(ROW()-1,GL_Cash_Book!$I$2:$I$116,0)),"")</f>
        <v/>
      </c>
      <c r="G68" t="str">
        <f>IFERROR(INDEX(GL_Cash_Book!G$2:G$116,MATCH(ROW()-1,GL_Cash_Book!$I$2:$I$116,0)),"")</f>
        <v/>
      </c>
      <c r="H68" s="30" t="str">
        <f>IFERROR(INDEX(GL_Cash_Book!H$2:H$116,MATCH(ROW()-1,GL_Cash_Book!$I$2:$I$116,0)),"")</f>
        <v/>
      </c>
    </row>
    <row r="69" spans="1:8">
      <c r="A69" t="str">
        <f>IFERROR(INDEX(GL_Cash_Book!A$2:A$116,MATCH(ROW()-1,GL_Cash_Book!$I$2:$I$116,0)),"")</f>
        <v/>
      </c>
      <c r="B69" s="28" t="str">
        <f>IFERROR(INDEX(GL_Cash_Book!B$2:B$116,MATCH(ROW()-1,GL_Cash_Book!$I$2:$I$116,0)),"")</f>
        <v/>
      </c>
      <c r="C69" t="str">
        <f>IFERROR(INDEX(GL_Cash_Book!C$2:C$116,MATCH(ROW()-1,GL_Cash_Book!$I$2:$I$116,0)),"")</f>
        <v/>
      </c>
      <c r="D69" t="str">
        <f>IFERROR(INDEX(GL_Cash_Book!D$2:D$116,MATCH(ROW()-1,GL_Cash_Book!$I$2:$I$116,0)),"")</f>
        <v/>
      </c>
      <c r="E69" s="29" t="str">
        <f>IFERROR(INDEX(GL_Cash_Book!E$2:E$116,MATCH(ROW()-1,GL_Cash_Book!$I$2:$I$116,0)),"")</f>
        <v/>
      </c>
      <c r="F69" t="str">
        <f>IFERROR(INDEX(GL_Cash_Book!F$2:F$116,MATCH(ROW()-1,GL_Cash_Book!$I$2:$I$116,0)),"")</f>
        <v/>
      </c>
      <c r="G69" t="str">
        <f>IFERROR(INDEX(GL_Cash_Book!G$2:G$116,MATCH(ROW()-1,GL_Cash_Book!$I$2:$I$116,0)),"")</f>
        <v/>
      </c>
      <c r="H69" s="30" t="str">
        <f>IFERROR(INDEX(GL_Cash_Book!H$2:H$116,MATCH(ROW()-1,GL_Cash_Book!$I$2:$I$116,0)),"")</f>
        <v/>
      </c>
    </row>
    <row r="70" spans="1:8">
      <c r="A70" t="str">
        <f>IFERROR(INDEX(GL_Cash_Book!A$2:A$116,MATCH(ROW()-1,GL_Cash_Book!$I$2:$I$116,0)),"")</f>
        <v/>
      </c>
      <c r="B70" s="28" t="str">
        <f>IFERROR(INDEX(GL_Cash_Book!B$2:B$116,MATCH(ROW()-1,GL_Cash_Book!$I$2:$I$116,0)),"")</f>
        <v/>
      </c>
      <c r="C70" t="str">
        <f>IFERROR(INDEX(GL_Cash_Book!C$2:C$116,MATCH(ROW()-1,GL_Cash_Book!$I$2:$I$116,0)),"")</f>
        <v/>
      </c>
      <c r="D70" t="str">
        <f>IFERROR(INDEX(GL_Cash_Book!D$2:D$116,MATCH(ROW()-1,GL_Cash_Book!$I$2:$I$116,0)),"")</f>
        <v/>
      </c>
      <c r="E70" s="29" t="str">
        <f>IFERROR(INDEX(GL_Cash_Book!E$2:E$116,MATCH(ROW()-1,GL_Cash_Book!$I$2:$I$116,0)),"")</f>
        <v/>
      </c>
      <c r="F70" t="str">
        <f>IFERROR(INDEX(GL_Cash_Book!F$2:F$116,MATCH(ROW()-1,GL_Cash_Book!$I$2:$I$116,0)),"")</f>
        <v/>
      </c>
      <c r="G70" t="str">
        <f>IFERROR(INDEX(GL_Cash_Book!G$2:G$116,MATCH(ROW()-1,GL_Cash_Book!$I$2:$I$116,0)),"")</f>
        <v/>
      </c>
      <c r="H70" s="30" t="str">
        <f>IFERROR(INDEX(GL_Cash_Book!H$2:H$116,MATCH(ROW()-1,GL_Cash_Book!$I$2:$I$116,0)),"")</f>
        <v/>
      </c>
    </row>
    <row r="71" spans="1:8">
      <c r="A71" t="str">
        <f>IFERROR(INDEX(GL_Cash_Book!A$2:A$116,MATCH(ROW()-1,GL_Cash_Book!$I$2:$I$116,0)),"")</f>
        <v/>
      </c>
      <c r="B71" s="28" t="str">
        <f>IFERROR(INDEX(GL_Cash_Book!B$2:B$116,MATCH(ROW()-1,GL_Cash_Book!$I$2:$I$116,0)),"")</f>
        <v/>
      </c>
      <c r="C71" t="str">
        <f>IFERROR(INDEX(GL_Cash_Book!C$2:C$116,MATCH(ROW()-1,GL_Cash_Book!$I$2:$I$116,0)),"")</f>
        <v/>
      </c>
      <c r="D71" t="str">
        <f>IFERROR(INDEX(GL_Cash_Book!D$2:D$116,MATCH(ROW()-1,GL_Cash_Book!$I$2:$I$116,0)),"")</f>
        <v/>
      </c>
      <c r="E71" s="29" t="str">
        <f>IFERROR(INDEX(GL_Cash_Book!E$2:E$116,MATCH(ROW()-1,GL_Cash_Book!$I$2:$I$116,0)),"")</f>
        <v/>
      </c>
      <c r="F71" t="str">
        <f>IFERROR(INDEX(GL_Cash_Book!F$2:F$116,MATCH(ROW()-1,GL_Cash_Book!$I$2:$I$116,0)),"")</f>
        <v/>
      </c>
      <c r="G71" t="str">
        <f>IFERROR(INDEX(GL_Cash_Book!G$2:G$116,MATCH(ROW()-1,GL_Cash_Book!$I$2:$I$116,0)),"")</f>
        <v/>
      </c>
      <c r="H71" s="30" t="str">
        <f>IFERROR(INDEX(GL_Cash_Book!H$2:H$116,MATCH(ROW()-1,GL_Cash_Book!$I$2:$I$116,0)),"")</f>
        <v/>
      </c>
    </row>
    <row r="72" spans="1:8">
      <c r="A72" t="str">
        <f>IFERROR(INDEX(GL_Cash_Book!A$2:A$116,MATCH(ROW()-1,GL_Cash_Book!$I$2:$I$116,0)),"")</f>
        <v/>
      </c>
      <c r="B72" s="28" t="str">
        <f>IFERROR(INDEX(GL_Cash_Book!B$2:B$116,MATCH(ROW()-1,GL_Cash_Book!$I$2:$I$116,0)),"")</f>
        <v/>
      </c>
      <c r="C72" t="str">
        <f>IFERROR(INDEX(GL_Cash_Book!C$2:C$116,MATCH(ROW()-1,GL_Cash_Book!$I$2:$I$116,0)),"")</f>
        <v/>
      </c>
      <c r="D72" t="str">
        <f>IFERROR(INDEX(GL_Cash_Book!D$2:D$116,MATCH(ROW()-1,GL_Cash_Book!$I$2:$I$116,0)),"")</f>
        <v/>
      </c>
      <c r="E72" s="29" t="str">
        <f>IFERROR(INDEX(GL_Cash_Book!E$2:E$116,MATCH(ROW()-1,GL_Cash_Book!$I$2:$I$116,0)),"")</f>
        <v/>
      </c>
      <c r="F72" t="str">
        <f>IFERROR(INDEX(GL_Cash_Book!F$2:F$116,MATCH(ROW()-1,GL_Cash_Book!$I$2:$I$116,0)),"")</f>
        <v/>
      </c>
      <c r="G72" t="str">
        <f>IFERROR(INDEX(GL_Cash_Book!G$2:G$116,MATCH(ROW()-1,GL_Cash_Book!$I$2:$I$116,0)),"")</f>
        <v/>
      </c>
      <c r="H72" s="30" t="str">
        <f>IFERROR(INDEX(GL_Cash_Book!H$2:H$116,MATCH(ROW()-1,GL_Cash_Book!$I$2:$I$116,0)),"")</f>
        <v/>
      </c>
    </row>
    <row r="73" spans="1:8">
      <c r="A73" t="str">
        <f>IFERROR(INDEX(GL_Cash_Book!A$2:A$116,MATCH(ROW()-1,GL_Cash_Book!$I$2:$I$116,0)),"")</f>
        <v/>
      </c>
      <c r="B73" s="28" t="str">
        <f>IFERROR(INDEX(GL_Cash_Book!B$2:B$116,MATCH(ROW()-1,GL_Cash_Book!$I$2:$I$116,0)),"")</f>
        <v/>
      </c>
      <c r="C73" t="str">
        <f>IFERROR(INDEX(GL_Cash_Book!C$2:C$116,MATCH(ROW()-1,GL_Cash_Book!$I$2:$I$116,0)),"")</f>
        <v/>
      </c>
      <c r="D73" t="str">
        <f>IFERROR(INDEX(GL_Cash_Book!D$2:D$116,MATCH(ROW()-1,GL_Cash_Book!$I$2:$I$116,0)),"")</f>
        <v/>
      </c>
      <c r="E73" s="29" t="str">
        <f>IFERROR(INDEX(GL_Cash_Book!E$2:E$116,MATCH(ROW()-1,GL_Cash_Book!$I$2:$I$116,0)),"")</f>
        <v/>
      </c>
      <c r="F73" t="str">
        <f>IFERROR(INDEX(GL_Cash_Book!F$2:F$116,MATCH(ROW()-1,GL_Cash_Book!$I$2:$I$116,0)),"")</f>
        <v/>
      </c>
      <c r="G73" t="str">
        <f>IFERROR(INDEX(GL_Cash_Book!G$2:G$116,MATCH(ROW()-1,GL_Cash_Book!$I$2:$I$116,0)),"")</f>
        <v/>
      </c>
      <c r="H73" s="30" t="str">
        <f>IFERROR(INDEX(GL_Cash_Book!H$2:H$116,MATCH(ROW()-1,GL_Cash_Book!$I$2:$I$116,0)),"")</f>
        <v/>
      </c>
    </row>
    <row r="74" spans="1:8">
      <c r="A74" t="str">
        <f>IFERROR(INDEX(GL_Cash_Book!A$2:A$116,MATCH(ROW()-1,GL_Cash_Book!$I$2:$I$116,0)),"")</f>
        <v/>
      </c>
      <c r="B74" s="28" t="str">
        <f>IFERROR(INDEX(GL_Cash_Book!B$2:B$116,MATCH(ROW()-1,GL_Cash_Book!$I$2:$I$116,0)),"")</f>
        <v/>
      </c>
      <c r="C74" t="str">
        <f>IFERROR(INDEX(GL_Cash_Book!C$2:C$116,MATCH(ROW()-1,GL_Cash_Book!$I$2:$I$116,0)),"")</f>
        <v/>
      </c>
      <c r="D74" t="str">
        <f>IFERROR(INDEX(GL_Cash_Book!D$2:D$116,MATCH(ROW()-1,GL_Cash_Book!$I$2:$I$116,0)),"")</f>
        <v/>
      </c>
      <c r="E74" s="29" t="str">
        <f>IFERROR(INDEX(GL_Cash_Book!E$2:E$116,MATCH(ROW()-1,GL_Cash_Book!$I$2:$I$116,0)),"")</f>
        <v/>
      </c>
      <c r="F74" t="str">
        <f>IFERROR(INDEX(GL_Cash_Book!F$2:F$116,MATCH(ROW()-1,GL_Cash_Book!$I$2:$I$116,0)),"")</f>
        <v/>
      </c>
      <c r="G74" t="str">
        <f>IFERROR(INDEX(GL_Cash_Book!G$2:G$116,MATCH(ROW()-1,GL_Cash_Book!$I$2:$I$116,0)),"")</f>
        <v/>
      </c>
      <c r="H74" s="30" t="str">
        <f>IFERROR(INDEX(GL_Cash_Book!H$2:H$116,MATCH(ROW()-1,GL_Cash_Book!$I$2:$I$116,0)),"")</f>
        <v/>
      </c>
    </row>
    <row r="75" spans="1:8">
      <c r="A75" t="str">
        <f>IFERROR(INDEX(GL_Cash_Book!A$2:A$116,MATCH(ROW()-1,GL_Cash_Book!$I$2:$I$116,0)),"")</f>
        <v/>
      </c>
      <c r="B75" s="28" t="str">
        <f>IFERROR(INDEX(GL_Cash_Book!B$2:B$116,MATCH(ROW()-1,GL_Cash_Book!$I$2:$I$116,0)),"")</f>
        <v/>
      </c>
      <c r="C75" t="str">
        <f>IFERROR(INDEX(GL_Cash_Book!C$2:C$116,MATCH(ROW()-1,GL_Cash_Book!$I$2:$I$116,0)),"")</f>
        <v/>
      </c>
      <c r="D75" t="str">
        <f>IFERROR(INDEX(GL_Cash_Book!D$2:D$116,MATCH(ROW()-1,GL_Cash_Book!$I$2:$I$116,0)),"")</f>
        <v/>
      </c>
      <c r="E75" s="29" t="str">
        <f>IFERROR(INDEX(GL_Cash_Book!E$2:E$116,MATCH(ROW()-1,GL_Cash_Book!$I$2:$I$116,0)),"")</f>
        <v/>
      </c>
      <c r="F75" t="str">
        <f>IFERROR(INDEX(GL_Cash_Book!F$2:F$116,MATCH(ROW()-1,GL_Cash_Book!$I$2:$I$116,0)),"")</f>
        <v/>
      </c>
      <c r="G75" t="str">
        <f>IFERROR(INDEX(GL_Cash_Book!G$2:G$116,MATCH(ROW()-1,GL_Cash_Book!$I$2:$I$116,0)),"")</f>
        <v/>
      </c>
      <c r="H75" s="30" t="str">
        <f>IFERROR(INDEX(GL_Cash_Book!H$2:H$116,MATCH(ROW()-1,GL_Cash_Book!$I$2:$I$116,0)),"")</f>
        <v/>
      </c>
    </row>
    <row r="76" spans="1:8">
      <c r="A76" t="str">
        <f>IFERROR(INDEX(GL_Cash_Book!A$2:A$116,MATCH(ROW()-1,GL_Cash_Book!$I$2:$I$116,0)),"")</f>
        <v/>
      </c>
      <c r="B76" s="28" t="str">
        <f>IFERROR(INDEX(GL_Cash_Book!B$2:B$116,MATCH(ROW()-1,GL_Cash_Book!$I$2:$I$116,0)),"")</f>
        <v/>
      </c>
      <c r="C76" t="str">
        <f>IFERROR(INDEX(GL_Cash_Book!C$2:C$116,MATCH(ROW()-1,GL_Cash_Book!$I$2:$I$116,0)),"")</f>
        <v/>
      </c>
      <c r="D76" t="str">
        <f>IFERROR(INDEX(GL_Cash_Book!D$2:D$116,MATCH(ROW()-1,GL_Cash_Book!$I$2:$I$116,0)),"")</f>
        <v/>
      </c>
      <c r="E76" s="29" t="str">
        <f>IFERROR(INDEX(GL_Cash_Book!E$2:E$116,MATCH(ROW()-1,GL_Cash_Book!$I$2:$I$116,0)),"")</f>
        <v/>
      </c>
      <c r="F76" t="str">
        <f>IFERROR(INDEX(GL_Cash_Book!F$2:F$116,MATCH(ROW()-1,GL_Cash_Book!$I$2:$I$116,0)),"")</f>
        <v/>
      </c>
      <c r="G76" t="str">
        <f>IFERROR(INDEX(GL_Cash_Book!G$2:G$116,MATCH(ROW()-1,GL_Cash_Book!$I$2:$I$116,0)),"")</f>
        <v/>
      </c>
      <c r="H76" s="30" t="str">
        <f>IFERROR(INDEX(GL_Cash_Book!H$2:H$116,MATCH(ROW()-1,GL_Cash_Book!$I$2:$I$116,0)),"")</f>
        <v/>
      </c>
    </row>
    <row r="77" spans="1:8">
      <c r="A77" t="str">
        <f>IFERROR(INDEX(GL_Cash_Book!A$2:A$116,MATCH(ROW()-1,GL_Cash_Book!$I$2:$I$116,0)),"")</f>
        <v/>
      </c>
      <c r="B77" s="28" t="str">
        <f>IFERROR(INDEX(GL_Cash_Book!B$2:B$116,MATCH(ROW()-1,GL_Cash_Book!$I$2:$I$116,0)),"")</f>
        <v/>
      </c>
      <c r="C77" t="str">
        <f>IFERROR(INDEX(GL_Cash_Book!C$2:C$116,MATCH(ROW()-1,GL_Cash_Book!$I$2:$I$116,0)),"")</f>
        <v/>
      </c>
      <c r="D77" t="str">
        <f>IFERROR(INDEX(GL_Cash_Book!D$2:D$116,MATCH(ROW()-1,GL_Cash_Book!$I$2:$I$116,0)),"")</f>
        <v/>
      </c>
      <c r="E77" s="29" t="str">
        <f>IFERROR(INDEX(GL_Cash_Book!E$2:E$116,MATCH(ROW()-1,GL_Cash_Book!$I$2:$I$116,0)),"")</f>
        <v/>
      </c>
      <c r="F77" t="str">
        <f>IFERROR(INDEX(GL_Cash_Book!F$2:F$116,MATCH(ROW()-1,GL_Cash_Book!$I$2:$I$116,0)),"")</f>
        <v/>
      </c>
      <c r="G77" t="str">
        <f>IFERROR(INDEX(GL_Cash_Book!G$2:G$116,MATCH(ROW()-1,GL_Cash_Book!$I$2:$I$116,0)),"")</f>
        <v/>
      </c>
      <c r="H77" s="30" t="str">
        <f>IFERROR(INDEX(GL_Cash_Book!H$2:H$116,MATCH(ROW()-1,GL_Cash_Book!$I$2:$I$116,0)),"")</f>
        <v/>
      </c>
    </row>
    <row r="78" spans="1:8">
      <c r="A78" t="str">
        <f>IFERROR(INDEX(GL_Cash_Book!A$2:A$116,MATCH(ROW()-1,GL_Cash_Book!$I$2:$I$116,0)),"")</f>
        <v/>
      </c>
      <c r="B78" s="28" t="str">
        <f>IFERROR(INDEX(GL_Cash_Book!B$2:B$116,MATCH(ROW()-1,GL_Cash_Book!$I$2:$I$116,0)),"")</f>
        <v/>
      </c>
      <c r="C78" t="str">
        <f>IFERROR(INDEX(GL_Cash_Book!C$2:C$116,MATCH(ROW()-1,GL_Cash_Book!$I$2:$I$116,0)),"")</f>
        <v/>
      </c>
      <c r="D78" t="str">
        <f>IFERROR(INDEX(GL_Cash_Book!D$2:D$116,MATCH(ROW()-1,GL_Cash_Book!$I$2:$I$116,0)),"")</f>
        <v/>
      </c>
      <c r="E78" s="29" t="str">
        <f>IFERROR(INDEX(GL_Cash_Book!E$2:E$116,MATCH(ROW()-1,GL_Cash_Book!$I$2:$I$116,0)),"")</f>
        <v/>
      </c>
      <c r="F78" t="str">
        <f>IFERROR(INDEX(GL_Cash_Book!F$2:F$116,MATCH(ROW()-1,GL_Cash_Book!$I$2:$I$116,0)),"")</f>
        <v/>
      </c>
      <c r="G78" t="str">
        <f>IFERROR(INDEX(GL_Cash_Book!G$2:G$116,MATCH(ROW()-1,GL_Cash_Book!$I$2:$I$116,0)),"")</f>
        <v/>
      </c>
      <c r="H78" s="30" t="str">
        <f>IFERROR(INDEX(GL_Cash_Book!H$2:H$116,MATCH(ROW()-1,GL_Cash_Book!$I$2:$I$116,0)),"")</f>
        <v/>
      </c>
    </row>
    <row r="79" spans="1:8">
      <c r="A79" t="str">
        <f>IFERROR(INDEX(GL_Cash_Book!A$2:A$116,MATCH(ROW()-1,GL_Cash_Book!$I$2:$I$116,0)),"")</f>
        <v/>
      </c>
      <c r="B79" s="28" t="str">
        <f>IFERROR(INDEX(GL_Cash_Book!B$2:B$116,MATCH(ROW()-1,GL_Cash_Book!$I$2:$I$116,0)),"")</f>
        <v/>
      </c>
      <c r="C79" t="str">
        <f>IFERROR(INDEX(GL_Cash_Book!C$2:C$116,MATCH(ROW()-1,GL_Cash_Book!$I$2:$I$116,0)),"")</f>
        <v/>
      </c>
      <c r="D79" t="str">
        <f>IFERROR(INDEX(GL_Cash_Book!D$2:D$116,MATCH(ROW()-1,GL_Cash_Book!$I$2:$I$116,0)),"")</f>
        <v/>
      </c>
      <c r="E79" s="29" t="str">
        <f>IFERROR(INDEX(GL_Cash_Book!E$2:E$116,MATCH(ROW()-1,GL_Cash_Book!$I$2:$I$116,0)),"")</f>
        <v/>
      </c>
      <c r="F79" t="str">
        <f>IFERROR(INDEX(GL_Cash_Book!F$2:F$116,MATCH(ROW()-1,GL_Cash_Book!$I$2:$I$116,0)),"")</f>
        <v/>
      </c>
      <c r="G79" t="str">
        <f>IFERROR(INDEX(GL_Cash_Book!G$2:G$116,MATCH(ROW()-1,GL_Cash_Book!$I$2:$I$116,0)),"")</f>
        <v/>
      </c>
      <c r="H79" s="30" t="str">
        <f>IFERROR(INDEX(GL_Cash_Book!H$2:H$116,MATCH(ROW()-1,GL_Cash_Book!$I$2:$I$116,0)),"")</f>
        <v/>
      </c>
    </row>
    <row r="80" spans="1:8">
      <c r="A80" t="str">
        <f>IFERROR(INDEX(GL_Cash_Book!A$2:A$116,MATCH(ROW()-1,GL_Cash_Book!$I$2:$I$116,0)),"")</f>
        <v/>
      </c>
      <c r="B80" s="28" t="str">
        <f>IFERROR(INDEX(GL_Cash_Book!B$2:B$116,MATCH(ROW()-1,GL_Cash_Book!$I$2:$I$116,0)),"")</f>
        <v/>
      </c>
      <c r="C80" t="str">
        <f>IFERROR(INDEX(GL_Cash_Book!C$2:C$116,MATCH(ROW()-1,GL_Cash_Book!$I$2:$I$116,0)),"")</f>
        <v/>
      </c>
      <c r="D80" t="str">
        <f>IFERROR(INDEX(GL_Cash_Book!D$2:D$116,MATCH(ROW()-1,GL_Cash_Book!$I$2:$I$116,0)),"")</f>
        <v/>
      </c>
      <c r="E80" s="29" t="str">
        <f>IFERROR(INDEX(GL_Cash_Book!E$2:E$116,MATCH(ROW()-1,GL_Cash_Book!$I$2:$I$116,0)),"")</f>
        <v/>
      </c>
      <c r="F80" t="str">
        <f>IFERROR(INDEX(GL_Cash_Book!F$2:F$116,MATCH(ROW()-1,GL_Cash_Book!$I$2:$I$116,0)),"")</f>
        <v/>
      </c>
      <c r="G80" t="str">
        <f>IFERROR(INDEX(GL_Cash_Book!G$2:G$116,MATCH(ROW()-1,GL_Cash_Book!$I$2:$I$116,0)),"")</f>
        <v/>
      </c>
      <c r="H80" s="30" t="str">
        <f>IFERROR(INDEX(GL_Cash_Book!H$2:H$116,MATCH(ROW()-1,GL_Cash_Book!$I$2:$I$116,0)),"")</f>
        <v/>
      </c>
    </row>
    <row r="81" spans="1:8">
      <c r="A81" t="str">
        <f>IFERROR(INDEX(GL_Cash_Book!A$2:A$116,MATCH(ROW()-1,GL_Cash_Book!$I$2:$I$116,0)),"")</f>
        <v/>
      </c>
      <c r="B81" s="28" t="str">
        <f>IFERROR(INDEX(GL_Cash_Book!B$2:B$116,MATCH(ROW()-1,GL_Cash_Book!$I$2:$I$116,0)),"")</f>
        <v/>
      </c>
      <c r="C81" t="str">
        <f>IFERROR(INDEX(GL_Cash_Book!C$2:C$116,MATCH(ROW()-1,GL_Cash_Book!$I$2:$I$116,0)),"")</f>
        <v/>
      </c>
      <c r="D81" t="str">
        <f>IFERROR(INDEX(GL_Cash_Book!D$2:D$116,MATCH(ROW()-1,GL_Cash_Book!$I$2:$I$116,0)),"")</f>
        <v/>
      </c>
      <c r="E81" s="29" t="str">
        <f>IFERROR(INDEX(GL_Cash_Book!E$2:E$116,MATCH(ROW()-1,GL_Cash_Book!$I$2:$I$116,0)),"")</f>
        <v/>
      </c>
      <c r="F81" t="str">
        <f>IFERROR(INDEX(GL_Cash_Book!F$2:F$116,MATCH(ROW()-1,GL_Cash_Book!$I$2:$I$116,0)),"")</f>
        <v/>
      </c>
      <c r="G81" t="str">
        <f>IFERROR(INDEX(GL_Cash_Book!G$2:G$116,MATCH(ROW()-1,GL_Cash_Book!$I$2:$I$116,0)),"")</f>
        <v/>
      </c>
      <c r="H81" s="30" t="str">
        <f>IFERROR(INDEX(GL_Cash_Book!H$2:H$116,MATCH(ROW()-1,GL_Cash_Book!$I$2:$I$116,0)),"")</f>
        <v/>
      </c>
    </row>
    <row r="82" spans="1:8">
      <c r="A82" t="str">
        <f>IFERROR(INDEX(GL_Cash_Book!A$2:A$116,MATCH(ROW()-1,GL_Cash_Book!$I$2:$I$116,0)),"")</f>
        <v/>
      </c>
      <c r="B82" s="28" t="str">
        <f>IFERROR(INDEX(GL_Cash_Book!B$2:B$116,MATCH(ROW()-1,GL_Cash_Book!$I$2:$I$116,0)),"")</f>
        <v/>
      </c>
      <c r="C82" t="str">
        <f>IFERROR(INDEX(GL_Cash_Book!C$2:C$116,MATCH(ROW()-1,GL_Cash_Book!$I$2:$I$116,0)),"")</f>
        <v/>
      </c>
      <c r="D82" t="str">
        <f>IFERROR(INDEX(GL_Cash_Book!D$2:D$116,MATCH(ROW()-1,GL_Cash_Book!$I$2:$I$116,0)),"")</f>
        <v/>
      </c>
      <c r="E82" s="29" t="str">
        <f>IFERROR(INDEX(GL_Cash_Book!E$2:E$116,MATCH(ROW()-1,GL_Cash_Book!$I$2:$I$116,0)),"")</f>
        <v/>
      </c>
      <c r="F82" t="str">
        <f>IFERROR(INDEX(GL_Cash_Book!F$2:F$116,MATCH(ROW()-1,GL_Cash_Book!$I$2:$I$116,0)),"")</f>
        <v/>
      </c>
      <c r="G82" t="str">
        <f>IFERROR(INDEX(GL_Cash_Book!G$2:G$116,MATCH(ROW()-1,GL_Cash_Book!$I$2:$I$116,0)),"")</f>
        <v/>
      </c>
      <c r="H82" s="30" t="str">
        <f>IFERROR(INDEX(GL_Cash_Book!H$2:H$116,MATCH(ROW()-1,GL_Cash_Book!$I$2:$I$116,0)),"")</f>
        <v/>
      </c>
    </row>
    <row r="83" spans="1:8">
      <c r="A83" t="str">
        <f>IFERROR(INDEX(GL_Cash_Book!A$2:A$116,MATCH(ROW()-1,GL_Cash_Book!$I$2:$I$116,0)),"")</f>
        <v/>
      </c>
      <c r="B83" s="28" t="str">
        <f>IFERROR(INDEX(GL_Cash_Book!B$2:B$116,MATCH(ROW()-1,GL_Cash_Book!$I$2:$I$116,0)),"")</f>
        <v/>
      </c>
      <c r="C83" t="str">
        <f>IFERROR(INDEX(GL_Cash_Book!C$2:C$116,MATCH(ROW()-1,GL_Cash_Book!$I$2:$I$116,0)),"")</f>
        <v/>
      </c>
      <c r="D83" t="str">
        <f>IFERROR(INDEX(GL_Cash_Book!D$2:D$116,MATCH(ROW()-1,GL_Cash_Book!$I$2:$I$116,0)),"")</f>
        <v/>
      </c>
      <c r="E83" s="29" t="str">
        <f>IFERROR(INDEX(GL_Cash_Book!E$2:E$116,MATCH(ROW()-1,GL_Cash_Book!$I$2:$I$116,0)),"")</f>
        <v/>
      </c>
      <c r="F83" t="str">
        <f>IFERROR(INDEX(GL_Cash_Book!F$2:F$116,MATCH(ROW()-1,GL_Cash_Book!$I$2:$I$116,0)),"")</f>
        <v/>
      </c>
      <c r="G83" t="str">
        <f>IFERROR(INDEX(GL_Cash_Book!G$2:G$116,MATCH(ROW()-1,GL_Cash_Book!$I$2:$I$116,0)),"")</f>
        <v/>
      </c>
      <c r="H83" s="30" t="str">
        <f>IFERROR(INDEX(GL_Cash_Book!H$2:H$116,MATCH(ROW()-1,GL_Cash_Book!$I$2:$I$116,0)),"")</f>
        <v/>
      </c>
    </row>
    <row r="84" spans="1:8">
      <c r="A84" t="str">
        <f>IFERROR(INDEX(GL_Cash_Book!A$2:A$116,MATCH(ROW()-1,GL_Cash_Book!$I$2:$I$116,0)),"")</f>
        <v/>
      </c>
      <c r="B84" s="28" t="str">
        <f>IFERROR(INDEX(GL_Cash_Book!B$2:B$116,MATCH(ROW()-1,GL_Cash_Book!$I$2:$I$116,0)),"")</f>
        <v/>
      </c>
      <c r="C84" t="str">
        <f>IFERROR(INDEX(GL_Cash_Book!C$2:C$116,MATCH(ROW()-1,GL_Cash_Book!$I$2:$I$116,0)),"")</f>
        <v/>
      </c>
      <c r="D84" t="str">
        <f>IFERROR(INDEX(GL_Cash_Book!D$2:D$116,MATCH(ROW()-1,GL_Cash_Book!$I$2:$I$116,0)),"")</f>
        <v/>
      </c>
      <c r="E84" s="29" t="str">
        <f>IFERROR(INDEX(GL_Cash_Book!E$2:E$116,MATCH(ROW()-1,GL_Cash_Book!$I$2:$I$116,0)),"")</f>
        <v/>
      </c>
      <c r="F84" t="str">
        <f>IFERROR(INDEX(GL_Cash_Book!F$2:F$116,MATCH(ROW()-1,GL_Cash_Book!$I$2:$I$116,0)),"")</f>
        <v/>
      </c>
      <c r="G84" t="str">
        <f>IFERROR(INDEX(GL_Cash_Book!G$2:G$116,MATCH(ROW()-1,GL_Cash_Book!$I$2:$I$116,0)),"")</f>
        <v/>
      </c>
      <c r="H84" s="30" t="str">
        <f>IFERROR(INDEX(GL_Cash_Book!H$2:H$116,MATCH(ROW()-1,GL_Cash_Book!$I$2:$I$116,0)),"")</f>
        <v/>
      </c>
    </row>
    <row r="85" spans="1:8">
      <c r="A85" t="str">
        <f>IFERROR(INDEX(GL_Cash_Book!A$2:A$116,MATCH(ROW()-1,GL_Cash_Book!$I$2:$I$116,0)),"")</f>
        <v/>
      </c>
      <c r="B85" s="28" t="str">
        <f>IFERROR(INDEX(GL_Cash_Book!B$2:B$116,MATCH(ROW()-1,GL_Cash_Book!$I$2:$I$116,0)),"")</f>
        <v/>
      </c>
      <c r="C85" t="str">
        <f>IFERROR(INDEX(GL_Cash_Book!C$2:C$116,MATCH(ROW()-1,GL_Cash_Book!$I$2:$I$116,0)),"")</f>
        <v/>
      </c>
      <c r="D85" t="str">
        <f>IFERROR(INDEX(GL_Cash_Book!D$2:D$116,MATCH(ROW()-1,GL_Cash_Book!$I$2:$I$116,0)),"")</f>
        <v/>
      </c>
      <c r="E85" s="29" t="str">
        <f>IFERROR(INDEX(GL_Cash_Book!E$2:E$116,MATCH(ROW()-1,GL_Cash_Book!$I$2:$I$116,0)),"")</f>
        <v/>
      </c>
      <c r="F85" t="str">
        <f>IFERROR(INDEX(GL_Cash_Book!F$2:F$116,MATCH(ROW()-1,GL_Cash_Book!$I$2:$I$116,0)),"")</f>
        <v/>
      </c>
      <c r="G85" t="str">
        <f>IFERROR(INDEX(GL_Cash_Book!G$2:G$116,MATCH(ROW()-1,GL_Cash_Book!$I$2:$I$116,0)),"")</f>
        <v/>
      </c>
      <c r="H85" s="30" t="str">
        <f>IFERROR(INDEX(GL_Cash_Book!H$2:H$116,MATCH(ROW()-1,GL_Cash_Book!$I$2:$I$116,0)),"")</f>
        <v/>
      </c>
    </row>
    <row r="86" spans="1:8">
      <c r="A86" t="str">
        <f>IFERROR(INDEX(GL_Cash_Book!A$2:A$116,MATCH(ROW()-1,GL_Cash_Book!$I$2:$I$116,0)),"")</f>
        <v/>
      </c>
      <c r="B86" s="28" t="str">
        <f>IFERROR(INDEX(GL_Cash_Book!B$2:B$116,MATCH(ROW()-1,GL_Cash_Book!$I$2:$I$116,0)),"")</f>
        <v/>
      </c>
      <c r="C86" t="str">
        <f>IFERROR(INDEX(GL_Cash_Book!C$2:C$116,MATCH(ROW()-1,GL_Cash_Book!$I$2:$I$116,0)),"")</f>
        <v/>
      </c>
      <c r="D86" t="str">
        <f>IFERROR(INDEX(GL_Cash_Book!D$2:D$116,MATCH(ROW()-1,GL_Cash_Book!$I$2:$I$116,0)),"")</f>
        <v/>
      </c>
      <c r="E86" s="29" t="str">
        <f>IFERROR(INDEX(GL_Cash_Book!E$2:E$116,MATCH(ROW()-1,GL_Cash_Book!$I$2:$I$116,0)),"")</f>
        <v/>
      </c>
      <c r="F86" t="str">
        <f>IFERROR(INDEX(GL_Cash_Book!F$2:F$116,MATCH(ROW()-1,GL_Cash_Book!$I$2:$I$116,0)),"")</f>
        <v/>
      </c>
      <c r="G86" t="str">
        <f>IFERROR(INDEX(GL_Cash_Book!G$2:G$116,MATCH(ROW()-1,GL_Cash_Book!$I$2:$I$116,0)),"")</f>
        <v/>
      </c>
      <c r="H86" s="30" t="str">
        <f>IFERROR(INDEX(GL_Cash_Book!H$2:H$116,MATCH(ROW()-1,GL_Cash_Book!$I$2:$I$116,0)),"")</f>
        <v/>
      </c>
    </row>
    <row r="87" spans="1:8">
      <c r="A87" t="str">
        <f>IFERROR(INDEX(GL_Cash_Book!A$2:A$116,MATCH(ROW()-1,GL_Cash_Book!$I$2:$I$116,0)),"")</f>
        <v/>
      </c>
      <c r="B87" s="28" t="str">
        <f>IFERROR(INDEX(GL_Cash_Book!B$2:B$116,MATCH(ROW()-1,GL_Cash_Book!$I$2:$I$116,0)),"")</f>
        <v/>
      </c>
      <c r="C87" t="str">
        <f>IFERROR(INDEX(GL_Cash_Book!C$2:C$116,MATCH(ROW()-1,GL_Cash_Book!$I$2:$I$116,0)),"")</f>
        <v/>
      </c>
      <c r="D87" t="str">
        <f>IFERROR(INDEX(GL_Cash_Book!D$2:D$116,MATCH(ROW()-1,GL_Cash_Book!$I$2:$I$116,0)),"")</f>
        <v/>
      </c>
      <c r="E87" s="29" t="str">
        <f>IFERROR(INDEX(GL_Cash_Book!E$2:E$116,MATCH(ROW()-1,GL_Cash_Book!$I$2:$I$116,0)),"")</f>
        <v/>
      </c>
      <c r="F87" t="str">
        <f>IFERROR(INDEX(GL_Cash_Book!F$2:F$116,MATCH(ROW()-1,GL_Cash_Book!$I$2:$I$116,0)),"")</f>
        <v/>
      </c>
      <c r="G87" t="str">
        <f>IFERROR(INDEX(GL_Cash_Book!G$2:G$116,MATCH(ROW()-1,GL_Cash_Book!$I$2:$I$116,0)),"")</f>
        <v/>
      </c>
      <c r="H87" s="30" t="str">
        <f>IFERROR(INDEX(GL_Cash_Book!H$2:H$116,MATCH(ROW()-1,GL_Cash_Book!$I$2:$I$116,0)),"")</f>
        <v/>
      </c>
    </row>
    <row r="88" spans="1:8">
      <c r="A88" t="str">
        <f>IFERROR(INDEX(GL_Cash_Book!A$2:A$116,MATCH(ROW()-1,GL_Cash_Book!$I$2:$I$116,0)),"")</f>
        <v/>
      </c>
      <c r="B88" s="28" t="str">
        <f>IFERROR(INDEX(GL_Cash_Book!B$2:B$116,MATCH(ROW()-1,GL_Cash_Book!$I$2:$I$116,0)),"")</f>
        <v/>
      </c>
      <c r="C88" t="str">
        <f>IFERROR(INDEX(GL_Cash_Book!C$2:C$116,MATCH(ROW()-1,GL_Cash_Book!$I$2:$I$116,0)),"")</f>
        <v/>
      </c>
      <c r="D88" t="str">
        <f>IFERROR(INDEX(GL_Cash_Book!D$2:D$116,MATCH(ROW()-1,GL_Cash_Book!$I$2:$I$116,0)),"")</f>
        <v/>
      </c>
      <c r="E88" s="29" t="str">
        <f>IFERROR(INDEX(GL_Cash_Book!E$2:E$116,MATCH(ROW()-1,GL_Cash_Book!$I$2:$I$116,0)),"")</f>
        <v/>
      </c>
      <c r="F88" t="str">
        <f>IFERROR(INDEX(GL_Cash_Book!F$2:F$116,MATCH(ROW()-1,GL_Cash_Book!$I$2:$I$116,0)),"")</f>
        <v/>
      </c>
      <c r="G88" t="str">
        <f>IFERROR(INDEX(GL_Cash_Book!G$2:G$116,MATCH(ROW()-1,GL_Cash_Book!$I$2:$I$116,0)),"")</f>
        <v/>
      </c>
      <c r="H88" s="30" t="str">
        <f>IFERROR(INDEX(GL_Cash_Book!H$2:H$116,MATCH(ROW()-1,GL_Cash_Book!$I$2:$I$116,0)),"")</f>
        <v/>
      </c>
    </row>
    <row r="89" spans="1:8">
      <c r="A89" t="str">
        <f>IFERROR(INDEX(GL_Cash_Book!A$2:A$116,MATCH(ROW()-1,GL_Cash_Book!$I$2:$I$116,0)),"")</f>
        <v/>
      </c>
      <c r="B89" s="28" t="str">
        <f>IFERROR(INDEX(GL_Cash_Book!B$2:B$116,MATCH(ROW()-1,GL_Cash_Book!$I$2:$I$116,0)),"")</f>
        <v/>
      </c>
      <c r="C89" t="str">
        <f>IFERROR(INDEX(GL_Cash_Book!C$2:C$116,MATCH(ROW()-1,GL_Cash_Book!$I$2:$I$116,0)),"")</f>
        <v/>
      </c>
      <c r="D89" t="str">
        <f>IFERROR(INDEX(GL_Cash_Book!D$2:D$116,MATCH(ROW()-1,GL_Cash_Book!$I$2:$I$116,0)),"")</f>
        <v/>
      </c>
      <c r="E89" s="29" t="str">
        <f>IFERROR(INDEX(GL_Cash_Book!E$2:E$116,MATCH(ROW()-1,GL_Cash_Book!$I$2:$I$116,0)),"")</f>
        <v/>
      </c>
      <c r="F89" t="str">
        <f>IFERROR(INDEX(GL_Cash_Book!F$2:F$116,MATCH(ROW()-1,GL_Cash_Book!$I$2:$I$116,0)),"")</f>
        <v/>
      </c>
      <c r="G89" t="str">
        <f>IFERROR(INDEX(GL_Cash_Book!G$2:G$116,MATCH(ROW()-1,GL_Cash_Book!$I$2:$I$116,0)),"")</f>
        <v/>
      </c>
      <c r="H89" s="30" t="str">
        <f>IFERROR(INDEX(GL_Cash_Book!H$2:H$116,MATCH(ROW()-1,GL_Cash_Book!$I$2:$I$116,0)),"")</f>
        <v/>
      </c>
    </row>
    <row r="90" spans="1:8">
      <c r="A90" t="str">
        <f>IFERROR(INDEX(GL_Cash_Book!A$2:A$116,MATCH(ROW()-1,GL_Cash_Book!$I$2:$I$116,0)),"")</f>
        <v/>
      </c>
      <c r="B90" s="28" t="str">
        <f>IFERROR(INDEX(GL_Cash_Book!B$2:B$116,MATCH(ROW()-1,GL_Cash_Book!$I$2:$I$116,0)),"")</f>
        <v/>
      </c>
      <c r="C90" t="str">
        <f>IFERROR(INDEX(GL_Cash_Book!C$2:C$116,MATCH(ROW()-1,GL_Cash_Book!$I$2:$I$116,0)),"")</f>
        <v/>
      </c>
      <c r="D90" t="str">
        <f>IFERROR(INDEX(GL_Cash_Book!D$2:D$116,MATCH(ROW()-1,GL_Cash_Book!$I$2:$I$116,0)),"")</f>
        <v/>
      </c>
      <c r="E90" s="29" t="str">
        <f>IFERROR(INDEX(GL_Cash_Book!E$2:E$116,MATCH(ROW()-1,GL_Cash_Book!$I$2:$I$116,0)),"")</f>
        <v/>
      </c>
      <c r="F90" t="str">
        <f>IFERROR(INDEX(GL_Cash_Book!F$2:F$116,MATCH(ROW()-1,GL_Cash_Book!$I$2:$I$116,0)),"")</f>
        <v/>
      </c>
      <c r="G90" t="str">
        <f>IFERROR(INDEX(GL_Cash_Book!G$2:G$116,MATCH(ROW()-1,GL_Cash_Book!$I$2:$I$116,0)),"")</f>
        <v/>
      </c>
      <c r="H90" s="30" t="str">
        <f>IFERROR(INDEX(GL_Cash_Book!H$2:H$116,MATCH(ROW()-1,GL_Cash_Book!$I$2:$I$116,0)),"")</f>
        <v/>
      </c>
    </row>
    <row r="91" spans="1:8">
      <c r="A91" t="str">
        <f>IFERROR(INDEX(GL_Cash_Book!A$2:A$116,MATCH(ROW()-1,GL_Cash_Book!$I$2:$I$116,0)),"")</f>
        <v/>
      </c>
      <c r="B91" s="28" t="str">
        <f>IFERROR(INDEX(GL_Cash_Book!B$2:B$116,MATCH(ROW()-1,GL_Cash_Book!$I$2:$I$116,0)),"")</f>
        <v/>
      </c>
      <c r="C91" t="str">
        <f>IFERROR(INDEX(GL_Cash_Book!C$2:C$116,MATCH(ROW()-1,GL_Cash_Book!$I$2:$I$116,0)),"")</f>
        <v/>
      </c>
      <c r="D91" t="str">
        <f>IFERROR(INDEX(GL_Cash_Book!D$2:D$116,MATCH(ROW()-1,GL_Cash_Book!$I$2:$I$116,0)),"")</f>
        <v/>
      </c>
      <c r="E91" s="29" t="str">
        <f>IFERROR(INDEX(GL_Cash_Book!E$2:E$116,MATCH(ROW()-1,GL_Cash_Book!$I$2:$I$116,0)),"")</f>
        <v/>
      </c>
      <c r="F91" t="str">
        <f>IFERROR(INDEX(GL_Cash_Book!F$2:F$116,MATCH(ROW()-1,GL_Cash_Book!$I$2:$I$116,0)),"")</f>
        <v/>
      </c>
      <c r="G91" t="str">
        <f>IFERROR(INDEX(GL_Cash_Book!G$2:G$116,MATCH(ROW()-1,GL_Cash_Book!$I$2:$I$116,0)),"")</f>
        <v/>
      </c>
      <c r="H91" s="30" t="str">
        <f>IFERROR(INDEX(GL_Cash_Book!H$2:H$116,MATCH(ROW()-1,GL_Cash_Book!$I$2:$I$116,0)),"")</f>
        <v/>
      </c>
    </row>
    <row r="92" spans="1:8">
      <c r="A92" t="str">
        <f>IFERROR(INDEX(GL_Cash_Book!A$2:A$116,MATCH(ROW()-1,GL_Cash_Book!$I$2:$I$116,0)),"")</f>
        <v/>
      </c>
      <c r="B92" s="28" t="str">
        <f>IFERROR(INDEX(GL_Cash_Book!B$2:B$116,MATCH(ROW()-1,GL_Cash_Book!$I$2:$I$116,0)),"")</f>
        <v/>
      </c>
      <c r="C92" t="str">
        <f>IFERROR(INDEX(GL_Cash_Book!C$2:C$116,MATCH(ROW()-1,GL_Cash_Book!$I$2:$I$116,0)),"")</f>
        <v/>
      </c>
      <c r="D92" t="str">
        <f>IFERROR(INDEX(GL_Cash_Book!D$2:D$116,MATCH(ROW()-1,GL_Cash_Book!$I$2:$I$116,0)),"")</f>
        <v/>
      </c>
      <c r="E92" s="29" t="str">
        <f>IFERROR(INDEX(GL_Cash_Book!E$2:E$116,MATCH(ROW()-1,GL_Cash_Book!$I$2:$I$116,0)),"")</f>
        <v/>
      </c>
      <c r="F92" t="str">
        <f>IFERROR(INDEX(GL_Cash_Book!F$2:F$116,MATCH(ROW()-1,GL_Cash_Book!$I$2:$I$116,0)),"")</f>
        <v/>
      </c>
      <c r="G92" t="str">
        <f>IFERROR(INDEX(GL_Cash_Book!G$2:G$116,MATCH(ROW()-1,GL_Cash_Book!$I$2:$I$116,0)),"")</f>
        <v/>
      </c>
      <c r="H92" s="30" t="str">
        <f>IFERROR(INDEX(GL_Cash_Book!H$2:H$116,MATCH(ROW()-1,GL_Cash_Book!$I$2:$I$116,0)),"")</f>
        <v/>
      </c>
    </row>
    <row r="93" spans="1:8">
      <c r="A93" t="str">
        <f>IFERROR(INDEX(GL_Cash_Book!A$2:A$116,MATCH(ROW()-1,GL_Cash_Book!$I$2:$I$116,0)),"")</f>
        <v/>
      </c>
      <c r="B93" s="28" t="str">
        <f>IFERROR(INDEX(GL_Cash_Book!B$2:B$116,MATCH(ROW()-1,GL_Cash_Book!$I$2:$I$116,0)),"")</f>
        <v/>
      </c>
      <c r="C93" t="str">
        <f>IFERROR(INDEX(GL_Cash_Book!C$2:C$116,MATCH(ROW()-1,GL_Cash_Book!$I$2:$I$116,0)),"")</f>
        <v/>
      </c>
      <c r="D93" t="str">
        <f>IFERROR(INDEX(GL_Cash_Book!D$2:D$116,MATCH(ROW()-1,GL_Cash_Book!$I$2:$I$116,0)),"")</f>
        <v/>
      </c>
      <c r="E93" s="29" t="str">
        <f>IFERROR(INDEX(GL_Cash_Book!E$2:E$116,MATCH(ROW()-1,GL_Cash_Book!$I$2:$I$116,0)),"")</f>
        <v/>
      </c>
      <c r="F93" t="str">
        <f>IFERROR(INDEX(GL_Cash_Book!F$2:F$116,MATCH(ROW()-1,GL_Cash_Book!$I$2:$I$116,0)),"")</f>
        <v/>
      </c>
      <c r="G93" t="str">
        <f>IFERROR(INDEX(GL_Cash_Book!G$2:G$116,MATCH(ROW()-1,GL_Cash_Book!$I$2:$I$116,0)),"")</f>
        <v/>
      </c>
      <c r="H93" s="30" t="str">
        <f>IFERROR(INDEX(GL_Cash_Book!H$2:H$116,MATCH(ROW()-1,GL_Cash_Book!$I$2:$I$116,0)),"")</f>
        <v/>
      </c>
    </row>
    <row r="94" spans="1:8">
      <c r="A94" t="str">
        <f>IFERROR(INDEX(GL_Cash_Book!A$2:A$116,MATCH(ROW()-1,GL_Cash_Book!$I$2:$I$116,0)),"")</f>
        <v/>
      </c>
      <c r="B94" s="28" t="str">
        <f>IFERROR(INDEX(GL_Cash_Book!B$2:B$116,MATCH(ROW()-1,GL_Cash_Book!$I$2:$I$116,0)),"")</f>
        <v/>
      </c>
      <c r="C94" t="str">
        <f>IFERROR(INDEX(GL_Cash_Book!C$2:C$116,MATCH(ROW()-1,GL_Cash_Book!$I$2:$I$116,0)),"")</f>
        <v/>
      </c>
      <c r="D94" t="str">
        <f>IFERROR(INDEX(GL_Cash_Book!D$2:D$116,MATCH(ROW()-1,GL_Cash_Book!$I$2:$I$116,0)),"")</f>
        <v/>
      </c>
      <c r="E94" s="29" t="str">
        <f>IFERROR(INDEX(GL_Cash_Book!E$2:E$116,MATCH(ROW()-1,GL_Cash_Book!$I$2:$I$116,0)),"")</f>
        <v/>
      </c>
      <c r="F94" t="str">
        <f>IFERROR(INDEX(GL_Cash_Book!F$2:F$116,MATCH(ROW()-1,GL_Cash_Book!$I$2:$I$116,0)),"")</f>
        <v/>
      </c>
      <c r="G94" t="str">
        <f>IFERROR(INDEX(GL_Cash_Book!G$2:G$116,MATCH(ROW()-1,GL_Cash_Book!$I$2:$I$116,0)),"")</f>
        <v/>
      </c>
      <c r="H94" s="30" t="str">
        <f>IFERROR(INDEX(GL_Cash_Book!H$2:H$116,MATCH(ROW()-1,GL_Cash_Book!$I$2:$I$116,0)),"")</f>
        <v/>
      </c>
    </row>
    <row r="95" spans="1:8">
      <c r="A95" t="str">
        <f>IFERROR(INDEX(GL_Cash_Book!A$2:A$116,MATCH(ROW()-1,GL_Cash_Book!$I$2:$I$116,0)),"")</f>
        <v/>
      </c>
      <c r="B95" s="28" t="str">
        <f>IFERROR(INDEX(GL_Cash_Book!B$2:B$116,MATCH(ROW()-1,GL_Cash_Book!$I$2:$I$116,0)),"")</f>
        <v/>
      </c>
      <c r="C95" t="str">
        <f>IFERROR(INDEX(GL_Cash_Book!C$2:C$116,MATCH(ROW()-1,GL_Cash_Book!$I$2:$I$116,0)),"")</f>
        <v/>
      </c>
      <c r="D95" t="str">
        <f>IFERROR(INDEX(GL_Cash_Book!D$2:D$116,MATCH(ROW()-1,GL_Cash_Book!$I$2:$I$116,0)),"")</f>
        <v/>
      </c>
      <c r="E95" s="29" t="str">
        <f>IFERROR(INDEX(GL_Cash_Book!E$2:E$116,MATCH(ROW()-1,GL_Cash_Book!$I$2:$I$116,0)),"")</f>
        <v/>
      </c>
      <c r="F95" t="str">
        <f>IFERROR(INDEX(GL_Cash_Book!F$2:F$116,MATCH(ROW()-1,GL_Cash_Book!$I$2:$I$116,0)),"")</f>
        <v/>
      </c>
      <c r="G95" t="str">
        <f>IFERROR(INDEX(GL_Cash_Book!G$2:G$116,MATCH(ROW()-1,GL_Cash_Book!$I$2:$I$116,0)),"")</f>
        <v/>
      </c>
      <c r="H95" s="30" t="str">
        <f>IFERROR(INDEX(GL_Cash_Book!H$2:H$116,MATCH(ROW()-1,GL_Cash_Book!$I$2:$I$116,0)),"")</f>
        <v/>
      </c>
    </row>
    <row r="96" spans="1:8">
      <c r="A96" t="str">
        <f>IFERROR(INDEX(GL_Cash_Book!A$2:A$116,MATCH(ROW()-1,GL_Cash_Book!$I$2:$I$116,0)),"")</f>
        <v/>
      </c>
      <c r="B96" s="28" t="str">
        <f>IFERROR(INDEX(GL_Cash_Book!B$2:B$116,MATCH(ROW()-1,GL_Cash_Book!$I$2:$I$116,0)),"")</f>
        <v/>
      </c>
      <c r="C96" t="str">
        <f>IFERROR(INDEX(GL_Cash_Book!C$2:C$116,MATCH(ROW()-1,GL_Cash_Book!$I$2:$I$116,0)),"")</f>
        <v/>
      </c>
      <c r="D96" t="str">
        <f>IFERROR(INDEX(GL_Cash_Book!D$2:D$116,MATCH(ROW()-1,GL_Cash_Book!$I$2:$I$116,0)),"")</f>
        <v/>
      </c>
      <c r="E96" s="29" t="str">
        <f>IFERROR(INDEX(GL_Cash_Book!E$2:E$116,MATCH(ROW()-1,GL_Cash_Book!$I$2:$I$116,0)),"")</f>
        <v/>
      </c>
      <c r="F96" t="str">
        <f>IFERROR(INDEX(GL_Cash_Book!F$2:F$116,MATCH(ROW()-1,GL_Cash_Book!$I$2:$I$116,0)),"")</f>
        <v/>
      </c>
      <c r="G96" t="str">
        <f>IFERROR(INDEX(GL_Cash_Book!G$2:G$116,MATCH(ROW()-1,GL_Cash_Book!$I$2:$I$116,0)),"")</f>
        <v/>
      </c>
      <c r="H96" s="30" t="str">
        <f>IFERROR(INDEX(GL_Cash_Book!H$2:H$116,MATCH(ROW()-1,GL_Cash_Book!$I$2:$I$116,0)),"")</f>
        <v/>
      </c>
    </row>
    <row r="97" spans="1:8">
      <c r="A97" t="str">
        <f>IFERROR(INDEX(GL_Cash_Book!A$2:A$116,MATCH(ROW()-1,GL_Cash_Book!$I$2:$I$116,0)),"")</f>
        <v/>
      </c>
      <c r="B97" s="28" t="str">
        <f>IFERROR(INDEX(GL_Cash_Book!B$2:B$116,MATCH(ROW()-1,GL_Cash_Book!$I$2:$I$116,0)),"")</f>
        <v/>
      </c>
      <c r="C97" t="str">
        <f>IFERROR(INDEX(GL_Cash_Book!C$2:C$116,MATCH(ROW()-1,GL_Cash_Book!$I$2:$I$116,0)),"")</f>
        <v/>
      </c>
      <c r="D97" t="str">
        <f>IFERROR(INDEX(GL_Cash_Book!D$2:D$116,MATCH(ROW()-1,GL_Cash_Book!$I$2:$I$116,0)),"")</f>
        <v/>
      </c>
      <c r="E97" s="29" t="str">
        <f>IFERROR(INDEX(GL_Cash_Book!E$2:E$116,MATCH(ROW()-1,GL_Cash_Book!$I$2:$I$116,0)),"")</f>
        <v/>
      </c>
      <c r="F97" t="str">
        <f>IFERROR(INDEX(GL_Cash_Book!F$2:F$116,MATCH(ROW()-1,GL_Cash_Book!$I$2:$I$116,0)),"")</f>
        <v/>
      </c>
      <c r="G97" t="str">
        <f>IFERROR(INDEX(GL_Cash_Book!G$2:G$116,MATCH(ROW()-1,GL_Cash_Book!$I$2:$I$116,0)),"")</f>
        <v/>
      </c>
      <c r="H97" s="30" t="str">
        <f>IFERROR(INDEX(GL_Cash_Book!H$2:H$116,MATCH(ROW()-1,GL_Cash_Book!$I$2:$I$116,0)),"")</f>
        <v/>
      </c>
    </row>
    <row r="98" spans="1:8">
      <c r="A98" t="str">
        <f>IFERROR(INDEX(GL_Cash_Book!A$2:A$116,MATCH(ROW()-1,GL_Cash_Book!$I$2:$I$116,0)),"")</f>
        <v/>
      </c>
      <c r="B98" s="28" t="str">
        <f>IFERROR(INDEX(GL_Cash_Book!B$2:B$116,MATCH(ROW()-1,GL_Cash_Book!$I$2:$I$116,0)),"")</f>
        <v/>
      </c>
      <c r="C98" t="str">
        <f>IFERROR(INDEX(GL_Cash_Book!C$2:C$116,MATCH(ROW()-1,GL_Cash_Book!$I$2:$I$116,0)),"")</f>
        <v/>
      </c>
      <c r="D98" t="str">
        <f>IFERROR(INDEX(GL_Cash_Book!D$2:D$116,MATCH(ROW()-1,GL_Cash_Book!$I$2:$I$116,0)),"")</f>
        <v/>
      </c>
      <c r="E98" s="29" t="str">
        <f>IFERROR(INDEX(GL_Cash_Book!E$2:E$116,MATCH(ROW()-1,GL_Cash_Book!$I$2:$I$116,0)),"")</f>
        <v/>
      </c>
      <c r="F98" t="str">
        <f>IFERROR(INDEX(GL_Cash_Book!F$2:F$116,MATCH(ROW()-1,GL_Cash_Book!$I$2:$I$116,0)),"")</f>
        <v/>
      </c>
      <c r="G98" t="str">
        <f>IFERROR(INDEX(GL_Cash_Book!G$2:G$116,MATCH(ROW()-1,GL_Cash_Book!$I$2:$I$116,0)),"")</f>
        <v/>
      </c>
      <c r="H98" s="30" t="str">
        <f>IFERROR(INDEX(GL_Cash_Book!H$2:H$116,MATCH(ROW()-1,GL_Cash_Book!$I$2:$I$116,0)),"")</f>
        <v/>
      </c>
    </row>
    <row r="99" spans="1:8">
      <c r="A99" t="str">
        <f>IFERROR(INDEX(GL_Cash_Book!A$2:A$116,MATCH(ROW()-1,GL_Cash_Book!$I$2:$I$116,0)),"")</f>
        <v/>
      </c>
      <c r="B99" s="28" t="str">
        <f>IFERROR(INDEX(GL_Cash_Book!B$2:B$116,MATCH(ROW()-1,GL_Cash_Book!$I$2:$I$116,0)),"")</f>
        <v/>
      </c>
      <c r="C99" t="str">
        <f>IFERROR(INDEX(GL_Cash_Book!C$2:C$116,MATCH(ROW()-1,GL_Cash_Book!$I$2:$I$116,0)),"")</f>
        <v/>
      </c>
      <c r="D99" t="str">
        <f>IFERROR(INDEX(GL_Cash_Book!D$2:D$116,MATCH(ROW()-1,GL_Cash_Book!$I$2:$I$116,0)),"")</f>
        <v/>
      </c>
      <c r="E99" s="29" t="str">
        <f>IFERROR(INDEX(GL_Cash_Book!E$2:E$116,MATCH(ROW()-1,GL_Cash_Book!$I$2:$I$116,0)),"")</f>
        <v/>
      </c>
      <c r="F99" t="str">
        <f>IFERROR(INDEX(GL_Cash_Book!F$2:F$116,MATCH(ROW()-1,GL_Cash_Book!$I$2:$I$116,0)),"")</f>
        <v/>
      </c>
      <c r="G99" t="str">
        <f>IFERROR(INDEX(GL_Cash_Book!G$2:G$116,MATCH(ROW()-1,GL_Cash_Book!$I$2:$I$116,0)),"")</f>
        <v/>
      </c>
      <c r="H99" s="30" t="str">
        <f>IFERROR(INDEX(GL_Cash_Book!H$2:H$116,MATCH(ROW()-1,GL_Cash_Book!$I$2:$I$116,0)),"")</f>
        <v/>
      </c>
    </row>
    <row r="100" spans="1:8">
      <c r="A100" t="str">
        <f>IFERROR(INDEX(GL_Cash_Book!A$2:A$116,MATCH(ROW()-1,GL_Cash_Book!$I$2:$I$116,0)),"")</f>
        <v/>
      </c>
      <c r="B100" s="28" t="str">
        <f>IFERROR(INDEX(GL_Cash_Book!B$2:B$116,MATCH(ROW()-1,GL_Cash_Book!$I$2:$I$116,0)),"")</f>
        <v/>
      </c>
      <c r="C100" t="str">
        <f>IFERROR(INDEX(GL_Cash_Book!C$2:C$116,MATCH(ROW()-1,GL_Cash_Book!$I$2:$I$116,0)),"")</f>
        <v/>
      </c>
      <c r="D100" t="str">
        <f>IFERROR(INDEX(GL_Cash_Book!D$2:D$116,MATCH(ROW()-1,GL_Cash_Book!$I$2:$I$116,0)),"")</f>
        <v/>
      </c>
      <c r="E100" s="29" t="str">
        <f>IFERROR(INDEX(GL_Cash_Book!E$2:E$116,MATCH(ROW()-1,GL_Cash_Book!$I$2:$I$116,0)),"")</f>
        <v/>
      </c>
      <c r="F100" t="str">
        <f>IFERROR(INDEX(GL_Cash_Book!F$2:F$116,MATCH(ROW()-1,GL_Cash_Book!$I$2:$I$116,0)),"")</f>
        <v/>
      </c>
      <c r="G100" t="str">
        <f>IFERROR(INDEX(GL_Cash_Book!G$2:G$116,MATCH(ROW()-1,GL_Cash_Book!$I$2:$I$116,0)),"")</f>
        <v/>
      </c>
      <c r="H100" s="30" t="str">
        <f>IFERROR(INDEX(GL_Cash_Book!H$2:H$116,MATCH(ROW()-1,GL_Cash_Book!$I$2:$I$116,0)),"")</f>
        <v/>
      </c>
    </row>
    <row r="101" spans="1:8">
      <c r="A101" t="str">
        <f>IFERROR(INDEX(GL_Cash_Book!A$2:A$116,MATCH(ROW()-1,GL_Cash_Book!$I$2:$I$116,0)),"")</f>
        <v/>
      </c>
      <c r="B101" s="28" t="str">
        <f>IFERROR(INDEX(GL_Cash_Book!B$2:B$116,MATCH(ROW()-1,GL_Cash_Book!$I$2:$I$116,0)),"")</f>
        <v/>
      </c>
      <c r="C101" t="str">
        <f>IFERROR(INDEX(GL_Cash_Book!C$2:C$116,MATCH(ROW()-1,GL_Cash_Book!$I$2:$I$116,0)),"")</f>
        <v/>
      </c>
      <c r="D101" t="str">
        <f>IFERROR(INDEX(GL_Cash_Book!D$2:D$116,MATCH(ROW()-1,GL_Cash_Book!$I$2:$I$116,0)),"")</f>
        <v/>
      </c>
      <c r="E101" s="29" t="str">
        <f>IFERROR(INDEX(GL_Cash_Book!E$2:E$116,MATCH(ROW()-1,GL_Cash_Book!$I$2:$I$116,0)),"")</f>
        <v/>
      </c>
      <c r="F101" t="str">
        <f>IFERROR(INDEX(GL_Cash_Book!F$2:F$116,MATCH(ROW()-1,GL_Cash_Book!$I$2:$I$116,0)),"")</f>
        <v/>
      </c>
      <c r="G101" t="str">
        <f>IFERROR(INDEX(GL_Cash_Book!G$2:G$116,MATCH(ROW()-1,GL_Cash_Book!$I$2:$I$116,0)),"")</f>
        <v/>
      </c>
      <c r="H101" s="30" t="str">
        <f>IFERROR(INDEX(GL_Cash_Book!H$2:H$116,MATCH(ROW()-1,GL_Cash_Book!$I$2:$I$116,0)),"")</f>
        <v/>
      </c>
    </row>
    <row r="102" spans="1:8">
      <c r="A102" t="str">
        <f>IFERROR(INDEX(GL_Cash_Book!A$2:A$116,MATCH(ROW()-1,GL_Cash_Book!$I$2:$I$116,0)),"")</f>
        <v/>
      </c>
      <c r="B102" s="28" t="str">
        <f>IFERROR(INDEX(GL_Cash_Book!B$2:B$116,MATCH(ROW()-1,GL_Cash_Book!$I$2:$I$116,0)),"")</f>
        <v/>
      </c>
      <c r="C102" t="str">
        <f>IFERROR(INDEX(GL_Cash_Book!C$2:C$116,MATCH(ROW()-1,GL_Cash_Book!$I$2:$I$116,0)),"")</f>
        <v/>
      </c>
      <c r="D102" t="str">
        <f>IFERROR(INDEX(GL_Cash_Book!D$2:D$116,MATCH(ROW()-1,GL_Cash_Book!$I$2:$I$116,0)),"")</f>
        <v/>
      </c>
      <c r="E102" s="29" t="str">
        <f>IFERROR(INDEX(GL_Cash_Book!E$2:E$116,MATCH(ROW()-1,GL_Cash_Book!$I$2:$I$116,0)),"")</f>
        <v/>
      </c>
      <c r="F102" t="str">
        <f>IFERROR(INDEX(GL_Cash_Book!F$2:F$116,MATCH(ROW()-1,GL_Cash_Book!$I$2:$I$116,0)),"")</f>
        <v/>
      </c>
      <c r="G102" t="str">
        <f>IFERROR(INDEX(GL_Cash_Book!G$2:G$116,MATCH(ROW()-1,GL_Cash_Book!$I$2:$I$116,0)),"")</f>
        <v/>
      </c>
      <c r="H102" s="30" t="str">
        <f>IFERROR(INDEX(GL_Cash_Book!H$2:H$116,MATCH(ROW()-1,GL_Cash_Book!$I$2:$I$116,0)),"")</f>
        <v/>
      </c>
    </row>
    <row r="103" spans="1:8">
      <c r="A103" t="str">
        <f>IFERROR(INDEX(GL_Cash_Book!A$2:A$116,MATCH(ROW()-1,GL_Cash_Book!$I$2:$I$116,0)),"")</f>
        <v/>
      </c>
      <c r="B103" s="28" t="str">
        <f>IFERROR(INDEX(GL_Cash_Book!B$2:B$116,MATCH(ROW()-1,GL_Cash_Book!$I$2:$I$116,0)),"")</f>
        <v/>
      </c>
      <c r="C103" t="str">
        <f>IFERROR(INDEX(GL_Cash_Book!C$2:C$116,MATCH(ROW()-1,GL_Cash_Book!$I$2:$I$116,0)),"")</f>
        <v/>
      </c>
      <c r="D103" t="str">
        <f>IFERROR(INDEX(GL_Cash_Book!D$2:D$116,MATCH(ROW()-1,GL_Cash_Book!$I$2:$I$116,0)),"")</f>
        <v/>
      </c>
      <c r="E103" s="29" t="str">
        <f>IFERROR(INDEX(GL_Cash_Book!E$2:E$116,MATCH(ROW()-1,GL_Cash_Book!$I$2:$I$116,0)),"")</f>
        <v/>
      </c>
      <c r="F103" t="str">
        <f>IFERROR(INDEX(GL_Cash_Book!F$2:F$116,MATCH(ROW()-1,GL_Cash_Book!$I$2:$I$116,0)),"")</f>
        <v/>
      </c>
      <c r="G103" t="str">
        <f>IFERROR(INDEX(GL_Cash_Book!G$2:G$116,MATCH(ROW()-1,GL_Cash_Book!$I$2:$I$116,0)),"")</f>
        <v/>
      </c>
      <c r="H103" s="30" t="str">
        <f>IFERROR(INDEX(GL_Cash_Book!H$2:H$116,MATCH(ROW()-1,GL_Cash_Book!$I$2:$I$116,0)),"")</f>
        <v/>
      </c>
    </row>
    <row r="104" spans="1:8">
      <c r="A104" t="str">
        <f>IFERROR(INDEX(GL_Cash_Book!A$2:A$116,MATCH(ROW()-1,GL_Cash_Book!$I$2:$I$116,0)),"")</f>
        <v/>
      </c>
      <c r="B104" s="28" t="str">
        <f>IFERROR(INDEX(GL_Cash_Book!B$2:B$116,MATCH(ROW()-1,GL_Cash_Book!$I$2:$I$116,0)),"")</f>
        <v/>
      </c>
      <c r="C104" t="str">
        <f>IFERROR(INDEX(GL_Cash_Book!C$2:C$116,MATCH(ROW()-1,GL_Cash_Book!$I$2:$I$116,0)),"")</f>
        <v/>
      </c>
      <c r="D104" t="str">
        <f>IFERROR(INDEX(GL_Cash_Book!D$2:D$116,MATCH(ROW()-1,GL_Cash_Book!$I$2:$I$116,0)),"")</f>
        <v/>
      </c>
      <c r="E104" s="29" t="str">
        <f>IFERROR(INDEX(GL_Cash_Book!E$2:E$116,MATCH(ROW()-1,GL_Cash_Book!$I$2:$I$116,0)),"")</f>
        <v/>
      </c>
      <c r="F104" t="str">
        <f>IFERROR(INDEX(GL_Cash_Book!F$2:F$116,MATCH(ROW()-1,GL_Cash_Book!$I$2:$I$116,0)),"")</f>
        <v/>
      </c>
      <c r="G104" t="str">
        <f>IFERROR(INDEX(GL_Cash_Book!G$2:G$116,MATCH(ROW()-1,GL_Cash_Book!$I$2:$I$116,0)),"")</f>
        <v/>
      </c>
      <c r="H104" s="30" t="str">
        <f>IFERROR(INDEX(GL_Cash_Book!H$2:H$116,MATCH(ROW()-1,GL_Cash_Book!$I$2:$I$116,0)),"")</f>
        <v/>
      </c>
    </row>
    <row r="105" spans="1:8">
      <c r="A105" t="str">
        <f>IFERROR(INDEX(GL_Cash_Book!A$2:A$116,MATCH(ROW()-1,GL_Cash_Book!$I$2:$I$116,0)),"")</f>
        <v/>
      </c>
      <c r="B105" s="28" t="str">
        <f>IFERROR(INDEX(GL_Cash_Book!B$2:B$116,MATCH(ROW()-1,GL_Cash_Book!$I$2:$I$116,0)),"")</f>
        <v/>
      </c>
      <c r="C105" t="str">
        <f>IFERROR(INDEX(GL_Cash_Book!C$2:C$116,MATCH(ROW()-1,GL_Cash_Book!$I$2:$I$116,0)),"")</f>
        <v/>
      </c>
      <c r="D105" t="str">
        <f>IFERROR(INDEX(GL_Cash_Book!D$2:D$116,MATCH(ROW()-1,GL_Cash_Book!$I$2:$I$116,0)),"")</f>
        <v/>
      </c>
      <c r="E105" s="29" t="str">
        <f>IFERROR(INDEX(GL_Cash_Book!E$2:E$116,MATCH(ROW()-1,GL_Cash_Book!$I$2:$I$116,0)),"")</f>
        <v/>
      </c>
      <c r="F105" t="str">
        <f>IFERROR(INDEX(GL_Cash_Book!F$2:F$116,MATCH(ROW()-1,GL_Cash_Book!$I$2:$I$116,0)),"")</f>
        <v/>
      </c>
      <c r="G105" t="str">
        <f>IFERROR(INDEX(GL_Cash_Book!G$2:G$116,MATCH(ROW()-1,GL_Cash_Book!$I$2:$I$116,0)),"")</f>
        <v/>
      </c>
      <c r="H105" s="30" t="str">
        <f>IFERROR(INDEX(GL_Cash_Book!H$2:H$116,MATCH(ROW()-1,GL_Cash_Book!$I$2:$I$116,0)),"")</f>
        <v/>
      </c>
    </row>
    <row r="106" spans="1:8">
      <c r="A106" t="str">
        <f>IFERROR(INDEX(GL_Cash_Book!A$2:A$116,MATCH(ROW()-1,GL_Cash_Book!$I$2:$I$116,0)),"")</f>
        <v/>
      </c>
      <c r="B106" s="28" t="str">
        <f>IFERROR(INDEX(GL_Cash_Book!B$2:B$116,MATCH(ROW()-1,GL_Cash_Book!$I$2:$I$116,0)),"")</f>
        <v/>
      </c>
      <c r="C106" t="str">
        <f>IFERROR(INDEX(GL_Cash_Book!C$2:C$116,MATCH(ROW()-1,GL_Cash_Book!$I$2:$I$116,0)),"")</f>
        <v/>
      </c>
      <c r="D106" t="str">
        <f>IFERROR(INDEX(GL_Cash_Book!D$2:D$116,MATCH(ROW()-1,GL_Cash_Book!$I$2:$I$116,0)),"")</f>
        <v/>
      </c>
      <c r="E106" s="29" t="str">
        <f>IFERROR(INDEX(GL_Cash_Book!E$2:E$116,MATCH(ROW()-1,GL_Cash_Book!$I$2:$I$116,0)),"")</f>
        <v/>
      </c>
      <c r="F106" t="str">
        <f>IFERROR(INDEX(GL_Cash_Book!F$2:F$116,MATCH(ROW()-1,GL_Cash_Book!$I$2:$I$116,0)),"")</f>
        <v/>
      </c>
      <c r="G106" t="str">
        <f>IFERROR(INDEX(GL_Cash_Book!G$2:G$116,MATCH(ROW()-1,GL_Cash_Book!$I$2:$I$116,0)),"")</f>
        <v/>
      </c>
      <c r="H106" s="30" t="str">
        <f>IFERROR(INDEX(GL_Cash_Book!H$2:H$116,MATCH(ROW()-1,GL_Cash_Book!$I$2:$I$116,0)),"")</f>
        <v/>
      </c>
    </row>
    <row r="107" spans="1:8">
      <c r="A107" t="str">
        <f>IFERROR(INDEX(GL_Cash_Book!A$2:A$116,MATCH(ROW()-1,GL_Cash_Book!$I$2:$I$116,0)),"")</f>
        <v/>
      </c>
      <c r="B107" s="28" t="str">
        <f>IFERROR(INDEX(GL_Cash_Book!B$2:B$116,MATCH(ROW()-1,GL_Cash_Book!$I$2:$I$116,0)),"")</f>
        <v/>
      </c>
      <c r="C107" t="str">
        <f>IFERROR(INDEX(GL_Cash_Book!C$2:C$116,MATCH(ROW()-1,GL_Cash_Book!$I$2:$I$116,0)),"")</f>
        <v/>
      </c>
      <c r="D107" t="str">
        <f>IFERROR(INDEX(GL_Cash_Book!D$2:D$116,MATCH(ROW()-1,GL_Cash_Book!$I$2:$I$116,0)),"")</f>
        <v/>
      </c>
      <c r="E107" s="29" t="str">
        <f>IFERROR(INDEX(GL_Cash_Book!E$2:E$116,MATCH(ROW()-1,GL_Cash_Book!$I$2:$I$116,0)),"")</f>
        <v/>
      </c>
      <c r="F107" t="str">
        <f>IFERROR(INDEX(GL_Cash_Book!F$2:F$116,MATCH(ROW()-1,GL_Cash_Book!$I$2:$I$116,0)),"")</f>
        <v/>
      </c>
      <c r="G107" t="str">
        <f>IFERROR(INDEX(GL_Cash_Book!G$2:G$116,MATCH(ROW()-1,GL_Cash_Book!$I$2:$I$116,0)),"")</f>
        <v/>
      </c>
      <c r="H107" s="30" t="str">
        <f>IFERROR(INDEX(GL_Cash_Book!H$2:H$116,MATCH(ROW()-1,GL_Cash_Book!$I$2:$I$116,0)),"")</f>
        <v/>
      </c>
    </row>
    <row r="108" spans="1:8">
      <c r="A108" t="str">
        <f>IFERROR(INDEX(GL_Cash_Book!A$2:A$116,MATCH(ROW()-1,GL_Cash_Book!$I$2:$I$116,0)),"")</f>
        <v/>
      </c>
      <c r="B108" s="28" t="str">
        <f>IFERROR(INDEX(GL_Cash_Book!B$2:B$116,MATCH(ROW()-1,GL_Cash_Book!$I$2:$I$116,0)),"")</f>
        <v/>
      </c>
      <c r="C108" t="str">
        <f>IFERROR(INDEX(GL_Cash_Book!C$2:C$116,MATCH(ROW()-1,GL_Cash_Book!$I$2:$I$116,0)),"")</f>
        <v/>
      </c>
      <c r="D108" t="str">
        <f>IFERROR(INDEX(GL_Cash_Book!D$2:D$116,MATCH(ROW()-1,GL_Cash_Book!$I$2:$I$116,0)),"")</f>
        <v/>
      </c>
      <c r="E108" s="29" t="str">
        <f>IFERROR(INDEX(GL_Cash_Book!E$2:E$116,MATCH(ROW()-1,GL_Cash_Book!$I$2:$I$116,0)),"")</f>
        <v/>
      </c>
      <c r="F108" t="str">
        <f>IFERROR(INDEX(GL_Cash_Book!F$2:F$116,MATCH(ROW()-1,GL_Cash_Book!$I$2:$I$116,0)),"")</f>
        <v/>
      </c>
      <c r="G108" t="str">
        <f>IFERROR(INDEX(GL_Cash_Book!G$2:G$116,MATCH(ROW()-1,GL_Cash_Book!$I$2:$I$116,0)),"")</f>
        <v/>
      </c>
      <c r="H108" s="30" t="str">
        <f>IFERROR(INDEX(GL_Cash_Book!H$2:H$116,MATCH(ROW()-1,GL_Cash_Book!$I$2:$I$116,0)),"")</f>
        <v/>
      </c>
    </row>
    <row r="109" spans="1:8">
      <c r="A109" t="str">
        <f>IFERROR(INDEX(GL_Cash_Book!A$2:A$116,MATCH(ROW()-1,GL_Cash_Book!$I$2:$I$116,0)),"")</f>
        <v/>
      </c>
      <c r="B109" s="28" t="str">
        <f>IFERROR(INDEX(GL_Cash_Book!B$2:B$116,MATCH(ROW()-1,GL_Cash_Book!$I$2:$I$116,0)),"")</f>
        <v/>
      </c>
      <c r="C109" t="str">
        <f>IFERROR(INDEX(GL_Cash_Book!C$2:C$116,MATCH(ROW()-1,GL_Cash_Book!$I$2:$I$116,0)),"")</f>
        <v/>
      </c>
      <c r="D109" t="str">
        <f>IFERROR(INDEX(GL_Cash_Book!D$2:D$116,MATCH(ROW()-1,GL_Cash_Book!$I$2:$I$116,0)),"")</f>
        <v/>
      </c>
      <c r="E109" s="29" t="str">
        <f>IFERROR(INDEX(GL_Cash_Book!E$2:E$116,MATCH(ROW()-1,GL_Cash_Book!$I$2:$I$116,0)),"")</f>
        <v/>
      </c>
      <c r="F109" t="str">
        <f>IFERROR(INDEX(GL_Cash_Book!F$2:F$116,MATCH(ROW()-1,GL_Cash_Book!$I$2:$I$116,0)),"")</f>
        <v/>
      </c>
      <c r="G109" t="str">
        <f>IFERROR(INDEX(GL_Cash_Book!G$2:G$116,MATCH(ROW()-1,GL_Cash_Book!$I$2:$I$116,0)),"")</f>
        <v/>
      </c>
      <c r="H109" s="30" t="str">
        <f>IFERROR(INDEX(GL_Cash_Book!H$2:H$116,MATCH(ROW()-1,GL_Cash_Book!$I$2:$I$116,0)),"")</f>
        <v/>
      </c>
    </row>
    <row r="110" spans="1:8">
      <c r="A110" t="str">
        <f>IFERROR(INDEX(GL_Cash_Book!A$2:A$116,MATCH(ROW()-1,GL_Cash_Book!$I$2:$I$116,0)),"")</f>
        <v/>
      </c>
      <c r="B110" s="28" t="str">
        <f>IFERROR(INDEX(GL_Cash_Book!B$2:B$116,MATCH(ROW()-1,GL_Cash_Book!$I$2:$I$116,0)),"")</f>
        <v/>
      </c>
      <c r="C110" t="str">
        <f>IFERROR(INDEX(GL_Cash_Book!C$2:C$116,MATCH(ROW()-1,GL_Cash_Book!$I$2:$I$116,0)),"")</f>
        <v/>
      </c>
      <c r="D110" t="str">
        <f>IFERROR(INDEX(GL_Cash_Book!D$2:D$116,MATCH(ROW()-1,GL_Cash_Book!$I$2:$I$116,0)),"")</f>
        <v/>
      </c>
      <c r="E110" s="29" t="str">
        <f>IFERROR(INDEX(GL_Cash_Book!E$2:E$116,MATCH(ROW()-1,GL_Cash_Book!$I$2:$I$116,0)),"")</f>
        <v/>
      </c>
      <c r="F110" t="str">
        <f>IFERROR(INDEX(GL_Cash_Book!F$2:F$116,MATCH(ROW()-1,GL_Cash_Book!$I$2:$I$116,0)),"")</f>
        <v/>
      </c>
      <c r="G110" t="str">
        <f>IFERROR(INDEX(GL_Cash_Book!G$2:G$116,MATCH(ROW()-1,GL_Cash_Book!$I$2:$I$116,0)),"")</f>
        <v/>
      </c>
      <c r="H110" s="30" t="str">
        <f>IFERROR(INDEX(GL_Cash_Book!H$2:H$116,MATCH(ROW()-1,GL_Cash_Book!$I$2:$I$116,0)),"")</f>
        <v/>
      </c>
    </row>
    <row r="111" spans="1:8">
      <c r="A111" t="str">
        <f>IFERROR(INDEX(GL_Cash_Book!A$2:A$116,MATCH(ROW()-1,GL_Cash_Book!$I$2:$I$116,0)),"")</f>
        <v/>
      </c>
      <c r="B111" s="28" t="str">
        <f>IFERROR(INDEX(GL_Cash_Book!B$2:B$116,MATCH(ROW()-1,GL_Cash_Book!$I$2:$I$116,0)),"")</f>
        <v/>
      </c>
      <c r="C111" t="str">
        <f>IFERROR(INDEX(GL_Cash_Book!C$2:C$116,MATCH(ROW()-1,GL_Cash_Book!$I$2:$I$116,0)),"")</f>
        <v/>
      </c>
      <c r="D111" t="str">
        <f>IFERROR(INDEX(GL_Cash_Book!D$2:D$116,MATCH(ROW()-1,GL_Cash_Book!$I$2:$I$116,0)),"")</f>
        <v/>
      </c>
      <c r="E111" s="29" t="str">
        <f>IFERROR(INDEX(GL_Cash_Book!E$2:E$116,MATCH(ROW()-1,GL_Cash_Book!$I$2:$I$116,0)),"")</f>
        <v/>
      </c>
      <c r="F111" t="str">
        <f>IFERROR(INDEX(GL_Cash_Book!F$2:F$116,MATCH(ROW()-1,GL_Cash_Book!$I$2:$I$116,0)),"")</f>
        <v/>
      </c>
      <c r="G111" t="str">
        <f>IFERROR(INDEX(GL_Cash_Book!G$2:G$116,MATCH(ROW()-1,GL_Cash_Book!$I$2:$I$116,0)),"")</f>
        <v/>
      </c>
      <c r="H111" s="30" t="str">
        <f>IFERROR(INDEX(GL_Cash_Book!H$2:H$116,MATCH(ROW()-1,GL_Cash_Book!$I$2:$I$116,0)),"")</f>
        <v/>
      </c>
    </row>
    <row r="112" spans="1:8">
      <c r="A112" t="str">
        <f>IFERROR(INDEX(GL_Cash_Book!A$2:A$116,MATCH(ROW()-1,GL_Cash_Book!$I$2:$I$116,0)),"")</f>
        <v/>
      </c>
      <c r="B112" s="28" t="str">
        <f>IFERROR(INDEX(GL_Cash_Book!B$2:B$116,MATCH(ROW()-1,GL_Cash_Book!$I$2:$I$116,0)),"")</f>
        <v/>
      </c>
      <c r="C112" t="str">
        <f>IFERROR(INDEX(GL_Cash_Book!C$2:C$116,MATCH(ROW()-1,GL_Cash_Book!$I$2:$I$116,0)),"")</f>
        <v/>
      </c>
      <c r="D112" t="str">
        <f>IFERROR(INDEX(GL_Cash_Book!D$2:D$116,MATCH(ROW()-1,GL_Cash_Book!$I$2:$I$116,0)),"")</f>
        <v/>
      </c>
      <c r="E112" s="29" t="str">
        <f>IFERROR(INDEX(GL_Cash_Book!E$2:E$116,MATCH(ROW()-1,GL_Cash_Book!$I$2:$I$116,0)),"")</f>
        <v/>
      </c>
      <c r="F112" t="str">
        <f>IFERROR(INDEX(GL_Cash_Book!F$2:F$116,MATCH(ROW()-1,GL_Cash_Book!$I$2:$I$116,0)),"")</f>
        <v/>
      </c>
      <c r="G112" t="str">
        <f>IFERROR(INDEX(GL_Cash_Book!G$2:G$116,MATCH(ROW()-1,GL_Cash_Book!$I$2:$I$116,0)),"")</f>
        <v/>
      </c>
      <c r="H112" s="30" t="str">
        <f>IFERROR(INDEX(GL_Cash_Book!H$2:H$116,MATCH(ROW()-1,GL_Cash_Book!$I$2:$I$116,0)),"")</f>
        <v/>
      </c>
    </row>
    <row r="113" spans="1:8">
      <c r="A113" t="str">
        <f>IFERROR(INDEX(GL_Cash_Book!A$2:A$116,MATCH(ROW()-1,GL_Cash_Book!$I$2:$I$116,0)),"")</f>
        <v/>
      </c>
      <c r="B113" s="28" t="str">
        <f>IFERROR(INDEX(GL_Cash_Book!B$2:B$116,MATCH(ROW()-1,GL_Cash_Book!$I$2:$I$116,0)),"")</f>
        <v/>
      </c>
      <c r="C113" t="str">
        <f>IFERROR(INDEX(GL_Cash_Book!C$2:C$116,MATCH(ROW()-1,GL_Cash_Book!$I$2:$I$116,0)),"")</f>
        <v/>
      </c>
      <c r="D113" t="str">
        <f>IFERROR(INDEX(GL_Cash_Book!D$2:D$116,MATCH(ROW()-1,GL_Cash_Book!$I$2:$I$116,0)),"")</f>
        <v/>
      </c>
      <c r="E113" s="29" t="str">
        <f>IFERROR(INDEX(GL_Cash_Book!E$2:E$116,MATCH(ROW()-1,GL_Cash_Book!$I$2:$I$116,0)),"")</f>
        <v/>
      </c>
      <c r="F113" t="str">
        <f>IFERROR(INDEX(GL_Cash_Book!F$2:F$116,MATCH(ROW()-1,GL_Cash_Book!$I$2:$I$116,0)),"")</f>
        <v/>
      </c>
      <c r="G113" t="str">
        <f>IFERROR(INDEX(GL_Cash_Book!G$2:G$116,MATCH(ROW()-1,GL_Cash_Book!$I$2:$I$116,0)),"")</f>
        <v/>
      </c>
      <c r="H113" s="30" t="str">
        <f>IFERROR(INDEX(GL_Cash_Book!H$2:H$116,MATCH(ROW()-1,GL_Cash_Book!$I$2:$I$116,0)),"")</f>
        <v/>
      </c>
    </row>
    <row r="114" spans="1:8">
      <c r="A114" t="str">
        <f>IFERROR(INDEX(GL_Cash_Book!A$2:A$116,MATCH(ROW()-1,GL_Cash_Book!$I$2:$I$116,0)),"")</f>
        <v/>
      </c>
      <c r="B114" s="28" t="str">
        <f>IFERROR(INDEX(GL_Cash_Book!B$2:B$116,MATCH(ROW()-1,GL_Cash_Book!$I$2:$I$116,0)),"")</f>
        <v/>
      </c>
      <c r="C114" t="str">
        <f>IFERROR(INDEX(GL_Cash_Book!C$2:C$116,MATCH(ROW()-1,GL_Cash_Book!$I$2:$I$116,0)),"")</f>
        <v/>
      </c>
      <c r="D114" t="str">
        <f>IFERROR(INDEX(GL_Cash_Book!D$2:D$116,MATCH(ROW()-1,GL_Cash_Book!$I$2:$I$116,0)),"")</f>
        <v/>
      </c>
      <c r="E114" s="29" t="str">
        <f>IFERROR(INDEX(GL_Cash_Book!E$2:E$116,MATCH(ROW()-1,GL_Cash_Book!$I$2:$I$116,0)),"")</f>
        <v/>
      </c>
      <c r="F114" t="str">
        <f>IFERROR(INDEX(GL_Cash_Book!F$2:F$116,MATCH(ROW()-1,GL_Cash_Book!$I$2:$I$116,0)),"")</f>
        <v/>
      </c>
      <c r="G114" t="str">
        <f>IFERROR(INDEX(GL_Cash_Book!G$2:G$116,MATCH(ROW()-1,GL_Cash_Book!$I$2:$I$116,0)),"")</f>
        <v/>
      </c>
      <c r="H114" s="30" t="str">
        <f>IFERROR(INDEX(GL_Cash_Book!H$2:H$116,MATCH(ROW()-1,GL_Cash_Book!$I$2:$I$116,0)),"")</f>
        <v/>
      </c>
    </row>
    <row r="115" spans="1:8">
      <c r="A115" t="str">
        <f>IFERROR(INDEX(GL_Cash_Book!A$2:A$116,MATCH(ROW()-1,GL_Cash_Book!$I$2:$I$116,0)),"")</f>
        <v/>
      </c>
      <c r="B115" s="28" t="str">
        <f>IFERROR(INDEX(GL_Cash_Book!B$2:B$116,MATCH(ROW()-1,GL_Cash_Book!$I$2:$I$116,0)),"")</f>
        <v/>
      </c>
      <c r="C115" t="str">
        <f>IFERROR(INDEX(GL_Cash_Book!C$2:C$116,MATCH(ROW()-1,GL_Cash_Book!$I$2:$I$116,0)),"")</f>
        <v/>
      </c>
      <c r="D115" t="str">
        <f>IFERROR(INDEX(GL_Cash_Book!D$2:D$116,MATCH(ROW()-1,GL_Cash_Book!$I$2:$I$116,0)),"")</f>
        <v/>
      </c>
      <c r="E115" s="29" t="str">
        <f>IFERROR(INDEX(GL_Cash_Book!E$2:E$116,MATCH(ROW()-1,GL_Cash_Book!$I$2:$I$116,0)),"")</f>
        <v/>
      </c>
      <c r="F115" t="str">
        <f>IFERROR(INDEX(GL_Cash_Book!F$2:F$116,MATCH(ROW()-1,GL_Cash_Book!$I$2:$I$116,0)),"")</f>
        <v/>
      </c>
      <c r="G115" t="str">
        <f>IFERROR(INDEX(GL_Cash_Book!G$2:G$116,MATCH(ROW()-1,GL_Cash_Book!$I$2:$I$116,0)),"")</f>
        <v/>
      </c>
      <c r="H115" s="30" t="str">
        <f>IFERROR(INDEX(GL_Cash_Book!H$2:H$116,MATCH(ROW()-1,GL_Cash_Book!$I$2:$I$116,0)),"")</f>
        <v/>
      </c>
    </row>
    <row r="116" spans="1:8">
      <c r="A116" t="str">
        <f>IFERROR(INDEX(GL_Cash_Book!A$2:A$116,MATCH(ROW()-1,GL_Cash_Book!$I$2:$I$116,0)),"")</f>
        <v/>
      </c>
      <c r="B116" s="28" t="str">
        <f>IFERROR(INDEX(GL_Cash_Book!B$2:B$116,MATCH(ROW()-1,GL_Cash_Book!$I$2:$I$116,0)),"")</f>
        <v/>
      </c>
      <c r="C116" t="str">
        <f>IFERROR(INDEX(GL_Cash_Book!C$2:C$116,MATCH(ROW()-1,GL_Cash_Book!$I$2:$I$116,0)),"")</f>
        <v/>
      </c>
      <c r="D116" t="str">
        <f>IFERROR(INDEX(GL_Cash_Book!D$2:D$116,MATCH(ROW()-1,GL_Cash_Book!$I$2:$I$116,0)),"")</f>
        <v/>
      </c>
      <c r="E116" s="29" t="str">
        <f>IFERROR(INDEX(GL_Cash_Book!E$2:E$116,MATCH(ROW()-1,GL_Cash_Book!$I$2:$I$116,0)),"")</f>
        <v/>
      </c>
      <c r="F116" t="str">
        <f>IFERROR(INDEX(GL_Cash_Book!F$2:F$116,MATCH(ROW()-1,GL_Cash_Book!$I$2:$I$116,0)),"")</f>
        <v/>
      </c>
      <c r="G116" t="str">
        <f>IFERROR(INDEX(GL_Cash_Book!G$2:G$116,MATCH(ROW()-1,GL_Cash_Book!$I$2:$I$116,0)),"")</f>
        <v/>
      </c>
      <c r="H116" s="30" t="str">
        <f>IFERROR(INDEX(GL_Cash_Book!H$2:H$116,MATCH(ROW()-1,GL_Cash_Book!$I$2:$I$116,0)),"")</f>
        <v/>
      </c>
    </row>
  </sheetData>
  <conditionalFormatting sqref="G2:G116">
    <cfRule type="expression" dxfId="0" priority="1">
      <formula>G2="Unmatched GL Item"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>
      <selection sqref="A1:L1"/>
    </sheetView>
  </sheetViews>
  <sheetFormatPr defaultRowHeight="13.8"/>
  <cols>
    <col min="1" max="12" width="18" customWidth="1"/>
  </cols>
  <sheetData>
    <row r="1" spans="1:12" ht="22.35" customHeight="1">
      <c r="A1" s="36" t="s">
        <v>399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7.5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4" spans="1:12" ht="24" customHeight="1">
      <c r="A4" s="1" t="s">
        <v>400</v>
      </c>
      <c r="B4" s="1" t="s">
        <v>401</v>
      </c>
      <c r="D4" s="4" t="s">
        <v>402</v>
      </c>
      <c r="E4" s="4" t="s">
        <v>401</v>
      </c>
    </row>
    <row r="5" spans="1:12">
      <c r="A5" s="25" t="s">
        <v>403</v>
      </c>
      <c r="B5" s="26">
        <f>SUM(Bank_Statement!$E$2:$E$121)</f>
        <v>415116.84000000008</v>
      </c>
      <c r="D5" t="s">
        <v>404</v>
      </c>
      <c r="E5" s="24">
        <f>COUNTIF(GL_Cash_Book!$G:$G,"Matched")</f>
        <v>80</v>
      </c>
    </row>
    <row r="6" spans="1:12">
      <c r="A6" s="25" t="s">
        <v>405</v>
      </c>
      <c r="B6" s="26">
        <f>SUM(GL_Cash_Book!$E$2:$E$116)</f>
        <v>314225.1700000001</v>
      </c>
      <c r="D6" t="s">
        <v>406</v>
      </c>
      <c r="E6" s="24">
        <f>COUNTIF(GL_Cash_Book!$G:$G,"Unmatched GL Item")</f>
        <v>35</v>
      </c>
    </row>
    <row r="7" spans="1:12">
      <c r="A7" s="25" t="s">
        <v>407</v>
      </c>
      <c r="B7" s="26">
        <f>B5-B6</f>
        <v>100891.66999999998</v>
      </c>
    </row>
    <row r="8" spans="1:12">
      <c r="A8" s="25" t="s">
        <v>408</v>
      </c>
      <c r="B8" s="27">
        <f>COUNTIF(GL_Cash_Book!$G:$G,"Matched")</f>
        <v>80</v>
      </c>
    </row>
    <row r="9" spans="1:12">
      <c r="A9" s="25" t="s">
        <v>409</v>
      </c>
      <c r="B9" s="27">
        <f>COUNTIF(GL_Cash_Book!$G:$G,"Unmatched GL Item")</f>
        <v>35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Bank_Statement</vt:lpstr>
      <vt:lpstr>GL_Cash_Book</vt:lpstr>
      <vt:lpstr>Exceptions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merlin</cp:lastModifiedBy>
  <dcterms:modified xsi:type="dcterms:W3CDTF">2026-07-29T20:59:56Z</dcterms:modified>
</cp:coreProperties>
</file>