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5ad053bdb45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ce2988b6d7d4d6e"/>
    <x:sheet xmlns:r="http://schemas.openxmlformats.org/officeDocument/2006/relationships" name="Data" sheetId="2" r:id="Rf89f5a9b414945ba"/>
    <x:sheet xmlns:r="http://schemas.openxmlformats.org/officeDocument/2006/relationships" name="Exceptions" sheetId="3" r:id="R1d877c62b03347d2"/>
    <x:sheet xmlns:r="http://schemas.openxmlformats.org/officeDocument/2006/relationships" name="Dashboard" sheetId="4" r:id="R2e732c98ff02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.00"/>
    <x:numFmt numFmtId="202" formatCode="0"/>
    <x:numFmt numFmtId="203" formatCode="$#,##0"/>
  </x:numFmts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E2F0D9"/>
      </x:patternFill>
    </x:fill>
    <x:fill>
      <x:patternFill patternType="solid">
        <x:fgColor rgb="FFC00000"/>
      </x:patternFill>
    </x:fill>
    <x:fill>
      <x:patternFill patternType="solid">
        <x:fgColor rgb="FFF2F2F2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15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horizontal="right"/>
    </x:xf>
    <x:xf numFmtId="203" fontId="4" fillId="0" borderId="0" xfId="0" applyNumberFormat="1" applyFont="1" applyFill="1" applyBorder="1" applyAlignment="1">
      <x:alignment horizontal="right"/>
    </x:xf>
    <x:xf numFmtId="202" fontId="4" fillId="0" borderId="1" xfId="0" applyNumberFormat="1" applyFont="1" applyFill="1" applyBorder="1"/>
    <x:xf numFmtId="203" fontId="4" fillId="0" borderId="1" xfId="0" applyNumberFormat="1" applyFont="1" applyFill="1" applyBorder="1"/>
    <x:xf numFmtId="202" fontId="4" fillId="0" borderId="1" xfId="0" applyNumberFormat="1" applyFont="1" applyFill="1" applyBorder="1" applyAlignment="1">
      <x:alignment horizontal="right"/>
    </x:xf>
    <x:xf numFmtId="203" fontId="4" fillId="0" borderId="1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1">
    <x:dxf>
      <x:font>
        <x:b/>
        <x:color rgb="FFC00000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58f39d04c4794" /><Relationship Type="http://schemas.openxmlformats.org/officeDocument/2006/relationships/theme" Target="/xl/theme/theme1.xml" Id="Rf28b8500e40c4c07" /><Relationship Type="http://schemas.openxmlformats.org/officeDocument/2006/relationships/sharedStrings" Target="/xl/sharedStrings.xml" Id="R4613d680da22411f" /><Relationship Type="http://schemas.openxmlformats.org/officeDocument/2006/relationships/worksheet" Target="/xl/worksheets/sheet1.xml" Id="R5ce2988b6d7d4d6e" /><Relationship Type="http://schemas.openxmlformats.org/officeDocument/2006/relationships/worksheet" Target="/xl/worksheets/sheet2.xml" Id="Rf89f5a9b414945ba" /><Relationship Type="http://schemas.openxmlformats.org/officeDocument/2006/relationships/worksheet" Target="/xl/worksheets/sheet3.xml" Id="R1d877c62b03347d2" /><Relationship Type="http://schemas.openxmlformats.org/officeDocument/2006/relationships/worksheet" Target="/xl/worksheets/sheet4.xml" Id="R2e732c98ff024b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2902c454ec45b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'Dashboard'!$E$5:$E$8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2902c454ec45b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d009f6f698e407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28" customHeight="1">
      <x:c r="A1" s="5" t="str">
        <x:v>AP Invoice Automation &amp; Discrepancy Engine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</x:row>
    <x:row r="4" ht="30" customHeight="1">
      <x:c r="A4" s="22" t="str">
        <x:v>Section</x:v>
      </x:c>
      <x:c r="B4" s="22" t="str">
        <x:v>Details</x:v>
      </x:c>
    </x:row>
    <x:row r="5" ht="52" customHeight="1">
      <x:c r="A5" s="30" t="str">
        <x:v>Business Problem</x:v>
      </x:c>
      <x:c r="B5" s="35" t="str">
        <x:v>AP teams need to match invoices to PO numbers, verify tax, prevent duplicate payments, and flag overdue or unapproved invoices.</x:v>
      </x:c>
    </x:row>
    <x:row r="6" ht="52" customHeight="1">
      <x:c r="A6" s="30" t="str">
        <x:v>How to Use</x:v>
      </x:c>
      <x:c r="B6" s="35" t="str">
        <x:v>Replace the sample data with company exports, refresh formulas, review the Exceptions sheet, then present the Dashboard KPIs.</x:v>
      </x:c>
    </x:row>
    <x:row r="7" ht="52" customHeight="1">
      <x:c r="A7" s="30" t="str">
        <x:v>Excel / Finance Skills Shown</x:v>
      </x:c>
      <x:c r="B7" s="35" t="str">
        <x:v>COUNTIFS duplicate checks, PO validation, tax checking, overdue aging, risk scoring, exceptions, dashboard KPIs, data validation.</x:v>
      </x:c>
    </x:row>
    <x:row r="8" ht="52" customHeight="1">
      <x:c r="A8" s="30" t="str">
        <x:v>Workbook Sheets</x:v>
      </x:c>
      <x:c r="B8" s="35" t="str">
        <x:v>README, Data, Exceptions, Dashboard</x:v>
      </x:c>
    </x:row>
    <x:row r="9" ht="52" customHeight="1">
      <x:c r="A9" s="30" t="str">
        <x:v>Interview Talking Points</x:v>
      </x:c>
      <x:c r="B9" s="35" t="str">
        <x:v>Show how the workbook reduces duplicate payment risk and gives AP staff a clear exception list before payment.</x:v>
      </x:c>
    </x:row>
    <x:row r="10" ht="52" customHeight="1">
      <x:c r="A10" s="30" t="str">
        <x:v>Important Note</x:v>
      </x:c>
      <x:c r="B10" s="35" t="str">
        <x:v>This file uses realistic sample data and is designed as a portfolio project. It is not confidential company data.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2" hidden="0" customWidth="1"/>
    <x:col min="5" max="5" width="13" hidden="0" customWidth="1"/>
    <x:col min="6" max="6" width="13" hidden="0" customWidth="1"/>
    <x:col min="7" max="7" width="12" hidden="0" customWidth="1"/>
    <x:col min="8" max="8" width="11" hidden="0" customWidth="1"/>
    <x:col min="9" max="9" width="12" hidden="0" customWidth="1"/>
    <x:col min="10" max="10" width="14" hidden="0" customWidth="1"/>
    <x:col min="11" max="11" width="14" hidden="0" customWidth="1"/>
    <x:col min="12" max="12" width="16" hidden="0" customWidth="1"/>
    <x:col min="13" max="13" width="14" hidden="0" customWidth="1"/>
    <x:col min="14" max="14" width="13" hidden="0" customWidth="1"/>
    <x:col min="15" max="15" width="13" hidden="0" customWidth="1"/>
    <x:col min="16" max="16" width="12" hidden="0" customWidth="1"/>
    <x:col min="17" max="17" width="35" hidden="0" customWidth="1"/>
  </x:cols>
  <x:sheetData>
    <x:row r="1" ht="30" customHeight="1">
      <x:c r="A1" s="46" t="str">
        <x:v>Invoice_ID</x:v>
      </x:c>
      <x:c r="B1" s="47" t="str">
        <x:v>Vendor</x:v>
      </x:c>
      <x:c r="C1" s="47" t="str">
        <x:v>Invoice_No</x:v>
      </x:c>
      <x:c r="D1" s="47" t="str">
        <x:v>PO_No</x:v>
      </x:c>
      <x:c r="E1" s="47" t="str">
        <x:v>Invoice_Date</x:v>
      </x:c>
      <x:c r="F1" s="47" t="str">
        <x:v>Due_Date</x:v>
      </x:c>
      <x:c r="G1" s="47" t="str">
        <x:v>Amount</x:v>
      </x:c>
      <x:c r="H1" s="47" t="str">
        <x:v>Tax</x:v>
      </x:c>
      <x:c r="I1" s="47" t="str">
        <x:v>Total</x:v>
      </x:c>
      <x:c r="J1" s="47" t="str">
        <x:v>Payment_Status</x:v>
      </x:c>
      <x:c r="K1" s="47" t="str">
        <x:v>Approval_Status</x:v>
      </x:c>
      <x:c r="L1" s="47" t="str">
        <x:v>Duplicate_Flag</x:v>
      </x:c>
      <x:c r="M1" s="47" t="str">
        <x:v>PO_Status</x:v>
      </x:c>
      <x:c r="N1" s="47" t="str">
        <x:v>Tax_Check</x:v>
      </x:c>
      <x:c r="O1" s="47" t="str">
        <x:v>Days_Overdue</x:v>
      </x:c>
      <x:c r="P1" s="47" t="str">
        <x:v>Risk_Level</x:v>
      </x:c>
      <x:c r="Q1" s="48" t="str">
        <x:v>Exception_Notes</x:v>
      </x:c>
    </x:row>
    <x:row r="2">
      <x:c r="A2" s="55" t="str">
        <x:v>AP-0001</x:v>
      </x:c>
      <x:c r="B2" s="56" t="str">
        <x:v>Vendor 15</x:v>
      </x:c>
      <x:c r="C2" s="56" t="str">
        <x:v>INV-21101</x:v>
      </x:c>
      <x:c r="D2" s="56" t="str"/>
      <x:c r="E2" s="76" t="n">
        <x:v>46186</x:v>
      </x:c>
      <x:c r="F2" s="76" t="n">
        <x:v>46216</x:v>
      </x:c>
      <x:c r="G2" s="80" t="n">
        <x:v>4371.77</x:v>
      </x:c>
      <x:c r="H2" s="80" t="n">
        <x:v>573.21</x:v>
      </x:c>
      <x:c r="I2" s="80" t="n">
        <x:f>G2+H2</x:f>
        <x:v>4944.9800000000005</x:v>
      </x:c>
      <x:c r="J2" s="56" t="str">
        <x:v>On Hold</x:v>
      </x:c>
      <x:c r="K2" s="56" t="str">
        <x:v>Approved</x:v>
      </x:c>
      <x:c r="L2" s="56" t="str">
        <x:f>IF(COUNTIFS($B$2:$B$151,B2,$C$2:$C$151,C2,$I$2:$I$151,I2)&gt;1,"Duplicate Risk","OK")</x:f>
        <x:v>OK</x:v>
      </x:c>
      <x:c r="M2" s="56" t="str">
        <x:f>IF(D2="","Missing PO","Matched")</x:f>
        <x:v>Missing PO</x:v>
      </x:c>
      <x:c r="N2" s="56" t="str">
        <x:f>IF(ABS(H2-G2*0.13)&lt;=1,"OK","Review Tax")</x:f>
        <x:v>Review Tax</x:v>
      </x:c>
      <x:c r="O2" s="122" t="n">
        <x:f>IF(J2="Paid",0,MAX(0,TODAY()-F2))</x:f>
        <x:v>16</x:v>
      </x:c>
      <x:c r="P2" s="56" t="str">
        <x:f>IF(OR(L2="Duplicate Risk",M2="Missing PO",N2="Review Tax",O2&gt;30,K2&lt;&gt;"Approved"),"High","Low")</x:f>
        <x:v>High</x:v>
      </x:c>
      <x:c r="Q2" s="57" t="str">
        <x:f>TEXTJOIN("; ",TRUE,IF(L2="Duplicate Risk","Duplicate risk",""),IF(M2="Missing PO","Missing PO",""),IF(N2="Review Tax","Tax variance",""),IF(O2&gt;0,"Overdue",""),IF(K2&lt;&gt;"Approved","Approval issue",""))</x:f>
        <x:v>Missing PO; Tax variance; Overdue</x:v>
      </x:c>
    </x:row>
    <x:row r="3">
      <x:c r="A3" s="55" t="str">
        <x:v>AP-0002</x:v>
      </x:c>
      <x:c r="B3" s="56" t="str">
        <x:v>Vendor 1</x:v>
      </x:c>
      <x:c r="C3" s="56" t="str">
        <x:v>INV-48833</x:v>
      </x:c>
      <x:c r="D3" s="56" t="str">
        <x:v>PO-1045</x:v>
      </x:c>
      <x:c r="E3" s="76" t="n">
        <x:v>46159</x:v>
      </x:c>
      <x:c r="F3" s="76" t="n">
        <x:v>46189</x:v>
      </x:c>
      <x:c r="G3" s="80" t="n">
        <x:v>2992.52</x:v>
      </x:c>
      <x:c r="H3" s="80" t="n">
        <x:v>389.03</x:v>
      </x:c>
      <x:c r="I3" s="80" t="n">
        <x:f>G3+H3</x:f>
        <x:v>3381.55</x:v>
      </x:c>
      <x:c r="J3" s="56" t="str">
        <x:v>Unpaid</x:v>
      </x:c>
      <x:c r="K3" s="56" t="str">
        <x:v>Rejected</x:v>
      </x:c>
      <x:c r="L3" s="56" t="str">
        <x:f>IF(COUNTIFS($B$2:$B$151,B3,$C$2:$C$151,C3,$I$2:$I$151,I3)&gt;1,"Duplicate Risk","OK")</x:f>
        <x:v>OK</x:v>
      </x:c>
      <x:c r="M3" s="56" t="str">
        <x:f>IF(D3="","Missing PO","Matched")</x:f>
        <x:v>Matched</x:v>
      </x:c>
      <x:c r="N3" s="56" t="str">
        <x:f>IF(ABS(H3-G3*0.13)&lt;=1,"OK","Review Tax")</x:f>
        <x:v>OK</x:v>
      </x:c>
      <x:c r="O3" s="122" t="n">
        <x:f>IF(J3="Paid",0,MAX(0,TODAY()-F3))</x:f>
        <x:v>43</x:v>
      </x:c>
      <x:c r="P3" s="56" t="str">
        <x:f>IF(OR(L3="Duplicate Risk",M3="Missing PO",N3="Review Tax",O3&gt;30,K3&lt;&gt;"Approved"),"High","Low")</x:f>
        <x:v>High</x:v>
      </x:c>
      <x:c r="Q3" s="57" t="str">
        <x:f>TEXTJOIN("; ",TRUE,IF(L3="Duplicate Risk","Duplicate risk",""),IF(M3="Missing PO","Missing PO",""),IF(N3="Review Tax","Tax variance",""),IF(O3&gt;0,"Overdue",""),IF(K3&lt;&gt;"Approved","Approval issue",""))</x:f>
        <x:v>Overdue; Approval issue</x:v>
      </x:c>
    </x:row>
    <x:row r="4">
      <x:c r="A4" s="55" t="str">
        <x:v>AP-0003</x:v>
      </x:c>
      <x:c r="B4" s="56" t="str">
        <x:v>Vendor 3</x:v>
      </x:c>
      <x:c r="C4" s="56" t="str">
        <x:v>INV-46012</x:v>
      </x:c>
      <x:c r="D4" s="56" t="str">
        <x:v>PO-1053</x:v>
      </x:c>
      <x:c r="E4" s="76" t="n">
        <x:v>46191</x:v>
      </x:c>
      <x:c r="F4" s="76" t="n">
        <x:v>46221</x:v>
      </x:c>
      <x:c r="G4" s="80" t="n">
        <x:v>11380.52</x:v>
      </x:c>
      <x:c r="H4" s="80" t="n">
        <x:v>1479.47</x:v>
      </x:c>
      <x:c r="I4" s="80" t="n">
        <x:f>G4+H4</x:f>
        <x:v>12859.99</x:v>
      </x:c>
      <x:c r="J4" s="56" t="str">
        <x:v>On Hold</x:v>
      </x:c>
      <x:c r="K4" s="56" t="str">
        <x:v>Rejected</x:v>
      </x:c>
      <x:c r="L4" s="56" t="str">
        <x:f>IF(COUNTIFS($B$2:$B$151,B4,$C$2:$C$151,C4,$I$2:$I$151,I4)&gt;1,"Duplicate Risk","OK")</x:f>
        <x:v>OK</x:v>
      </x:c>
      <x:c r="M4" s="56" t="str">
        <x:f>IF(D4="","Missing PO","Matched")</x:f>
        <x:v>Matched</x:v>
      </x:c>
      <x:c r="N4" s="56" t="str">
        <x:f>IF(ABS(H4-G4*0.13)&lt;=1,"OK","Review Tax")</x:f>
        <x:v>OK</x:v>
      </x:c>
      <x:c r="O4" s="122" t="n">
        <x:f>IF(J4="Paid",0,MAX(0,TODAY()-F4))</x:f>
        <x:v>11</x:v>
      </x:c>
      <x:c r="P4" s="56" t="str">
        <x:f>IF(OR(L4="Duplicate Risk",M4="Missing PO",N4="Review Tax",O4&gt;30,K4&lt;&gt;"Approved"),"High","Low")</x:f>
        <x:v>High</x:v>
      </x:c>
      <x:c r="Q4" s="57" t="str">
        <x:f>TEXTJOIN("; ",TRUE,IF(L4="Duplicate Risk","Duplicate risk",""),IF(M4="Missing PO","Missing PO",""),IF(N4="Review Tax","Tax variance",""),IF(O4&gt;0,"Overdue",""),IF(K4&lt;&gt;"Approved","Approval issue",""))</x:f>
        <x:v>Overdue; Approval issue</x:v>
      </x:c>
    </x:row>
    <x:row r="5">
      <x:c r="A5" s="55" t="str">
        <x:v>AP-0004</x:v>
      </x:c>
      <x:c r="B5" s="56" t="str">
        <x:v>Vendor 8</x:v>
      </x:c>
      <x:c r="C5" s="56" t="str">
        <x:v>INV-25269</x:v>
      </x:c>
      <x:c r="D5" s="56" t="str">
        <x:v>PO-1035</x:v>
      </x:c>
      <x:c r="E5" s="76" t="n">
        <x:v>46144</x:v>
      </x:c>
      <x:c r="F5" s="76" t="n">
        <x:v>46189</x:v>
      </x:c>
      <x:c r="G5" s="80" t="n">
        <x:v>958.11</x:v>
      </x:c>
      <x:c r="H5" s="80" t="n">
        <x:v>124.55</x:v>
      </x:c>
      <x:c r="I5" s="80" t="n">
        <x:f>G5+H5</x:f>
        <x:v>1082.66</x:v>
      </x:c>
      <x:c r="J5" s="56" t="str">
        <x:v>Unpaid</x:v>
      </x:c>
      <x:c r="K5" s="56" t="str">
        <x:v>Pending</x:v>
      </x:c>
      <x:c r="L5" s="56" t="str">
        <x:f>IF(COUNTIFS($B$2:$B$151,B5,$C$2:$C$151,C5,$I$2:$I$151,I5)&gt;1,"Duplicate Risk","OK")</x:f>
        <x:v>OK</x:v>
      </x:c>
      <x:c r="M5" s="56" t="str">
        <x:f>IF(D5="","Missing PO","Matched")</x:f>
        <x:v>Matched</x:v>
      </x:c>
      <x:c r="N5" s="56" t="str">
        <x:f>IF(ABS(H5-G5*0.13)&lt;=1,"OK","Review Tax")</x:f>
        <x:v>OK</x:v>
      </x:c>
      <x:c r="O5" s="122" t="n">
        <x:f>IF(J5="Paid",0,MAX(0,TODAY()-F5))</x:f>
        <x:v>43</x:v>
      </x:c>
      <x:c r="P5" s="56" t="str">
        <x:f>IF(OR(L5="Duplicate Risk",M5="Missing PO",N5="Review Tax",O5&gt;30,K5&lt;&gt;"Approved"),"High","Low")</x:f>
        <x:v>High</x:v>
      </x:c>
      <x:c r="Q5" s="57" t="str">
        <x:f>TEXTJOIN("; ",TRUE,IF(L5="Duplicate Risk","Duplicate risk",""),IF(M5="Missing PO","Missing PO",""),IF(N5="Review Tax","Tax variance",""),IF(O5&gt;0,"Overdue",""),IF(K5&lt;&gt;"Approved","Approval issue",""))</x:f>
        <x:v>Overdue; Approval issue</x:v>
      </x:c>
    </x:row>
    <x:row r="6">
      <x:c r="A6" s="55" t="str">
        <x:v>AP-0005</x:v>
      </x:c>
      <x:c r="B6" s="56" t="str">
        <x:v>Vendor 6</x:v>
      </x:c>
      <x:c r="C6" s="56" t="str">
        <x:v>INV-38175</x:v>
      </x:c>
      <x:c r="D6" s="56" t="str"/>
      <x:c r="E6" s="76" t="n">
        <x:v>46193</x:v>
      </x:c>
      <x:c r="F6" s="76" t="n">
        <x:v>46238</x:v>
      </x:c>
      <x:c r="G6" s="80" t="n">
        <x:v>1225.29</x:v>
      </x:c>
      <x:c r="H6" s="80" t="n">
        <x:v>163.97</x:v>
      </x:c>
      <x:c r="I6" s="80" t="n">
        <x:f>G6+H6</x:f>
        <x:v>1389.26</x:v>
      </x:c>
      <x:c r="J6" s="56" t="str">
        <x:v>Paid</x:v>
      </x:c>
      <x:c r="K6" s="56" t="str">
        <x:v>Rejected</x:v>
      </x:c>
      <x:c r="L6" s="56" t="str">
        <x:f>IF(COUNTIFS($B$2:$B$151,B6,$C$2:$C$151,C6,$I$2:$I$151,I6)&gt;1,"Duplicate Risk","OK")</x:f>
        <x:v>OK</x:v>
      </x:c>
      <x:c r="M6" s="56" t="str">
        <x:f>IF(D6="","Missing PO","Matched")</x:f>
        <x:v>Missing PO</x:v>
      </x:c>
      <x:c r="N6" s="56" t="str">
        <x:f>IF(ABS(H6-G6*0.13)&lt;=1,"OK","Review Tax")</x:f>
        <x:v>Review Tax</x:v>
      </x:c>
      <x:c r="O6" s="122" t="n">
        <x:f>IF(J6="Paid",0,MAX(0,TODAY()-F6))</x:f>
        <x:v>0</x:v>
      </x:c>
      <x:c r="P6" s="56" t="str">
        <x:f>IF(OR(L6="Duplicate Risk",M6="Missing PO",N6="Review Tax",O6&gt;30,K6&lt;&gt;"Approved"),"High","Low")</x:f>
        <x:v>High</x:v>
      </x:c>
      <x:c r="Q6" s="57" t="str">
        <x:f>TEXTJOIN("; ",TRUE,IF(L6="Duplicate Risk","Duplicate risk",""),IF(M6="Missing PO","Missing PO",""),IF(N6="Review Tax","Tax variance",""),IF(O6&gt;0,"Overdue",""),IF(K6&lt;&gt;"Approved","Approval issue",""))</x:f>
        <x:v>Missing PO; Tax variance; Approval issue</x:v>
      </x:c>
    </x:row>
    <x:row r="7">
      <x:c r="A7" s="55" t="str">
        <x:v>AP-0006</x:v>
      </x:c>
      <x:c r="B7" s="56" t="str">
        <x:v>Vendor 9</x:v>
      </x:c>
      <x:c r="C7" s="56" t="str">
        <x:v>INV-30016</x:v>
      </x:c>
      <x:c r="D7" s="56" t="str">
        <x:v>PO-1096</x:v>
      </x:c>
      <x:c r="E7" s="76" t="n">
        <x:v>46164</x:v>
      </x:c>
      <x:c r="F7" s="76" t="n">
        <x:v>46179</x:v>
      </x:c>
      <x:c r="G7" s="80" t="n">
        <x:v>3489.34</x:v>
      </x:c>
      <x:c r="H7" s="80" t="n">
        <x:v>453.61</x:v>
      </x:c>
      <x:c r="I7" s="80" t="n">
        <x:f>G7+H7</x:f>
        <x:v>3942.9500000000003</x:v>
      </x:c>
      <x:c r="J7" s="56" t="str">
        <x:v>Paid</x:v>
      </x:c>
      <x:c r="K7" s="56" t="str">
        <x:v>Pending</x:v>
      </x:c>
      <x:c r="L7" s="56" t="str">
        <x:f>IF(COUNTIFS($B$2:$B$151,B7,$C$2:$C$151,C7,$I$2:$I$151,I7)&gt;1,"Duplicate Risk","OK")</x:f>
        <x:v>OK</x:v>
      </x:c>
      <x:c r="M7" s="56" t="str">
        <x:f>IF(D7="","Missing PO","Matched")</x:f>
        <x:v>Matched</x:v>
      </x:c>
      <x:c r="N7" s="56" t="str">
        <x:f>IF(ABS(H7-G7*0.13)&lt;=1,"OK","Review Tax")</x:f>
        <x:v>OK</x:v>
      </x:c>
      <x:c r="O7" s="122" t="n">
        <x:f>IF(J7="Paid",0,MAX(0,TODAY()-F7))</x:f>
        <x:v>0</x:v>
      </x:c>
      <x:c r="P7" s="56" t="str">
        <x:f>IF(OR(L7="Duplicate Risk",M7="Missing PO",N7="Review Tax",O7&gt;30,K7&lt;&gt;"Approved"),"High","Low")</x:f>
        <x:v>High</x:v>
      </x:c>
      <x:c r="Q7" s="57" t="str">
        <x:f>TEXTJOIN("; ",TRUE,IF(L7="Duplicate Risk","Duplicate risk",""),IF(M7="Missing PO","Missing PO",""),IF(N7="Review Tax","Tax variance",""),IF(O7&gt;0,"Overdue",""),IF(K7&lt;&gt;"Approved","Approval issue",""))</x:f>
        <x:v>Approval issue</x:v>
      </x:c>
    </x:row>
    <x:row r="8">
      <x:c r="A8" s="55" t="str">
        <x:v>AP-0007</x:v>
      </x:c>
      <x:c r="B8" s="56" t="str">
        <x:v>Vendor 7</x:v>
      </x:c>
      <x:c r="C8" s="56" t="str">
        <x:v>INV-32892</x:v>
      </x:c>
      <x:c r="D8" s="56" t="str"/>
      <x:c r="E8" s="76" t="n">
        <x:v>46197</x:v>
      </x:c>
      <x:c r="F8" s="76" t="n">
        <x:v>46242</x:v>
      </x:c>
      <x:c r="G8" s="80" t="n">
        <x:v>4003.66</x:v>
      </x:c>
      <x:c r="H8" s="80" t="n">
        <x:v>520.74</x:v>
      </x:c>
      <x:c r="I8" s="80" t="n">
        <x:f>G8+H8</x:f>
        <x:v>4524.4</x:v>
      </x:c>
      <x:c r="J8" s="56" t="str">
        <x:v>Paid</x:v>
      </x:c>
      <x:c r="K8" s="56" t="str">
        <x:v>Rejected</x:v>
      </x:c>
      <x:c r="L8" s="56" t="str">
        <x:f>IF(COUNTIFS($B$2:$B$151,B8,$C$2:$C$151,C8,$I$2:$I$151,I8)&gt;1,"Duplicate Risk","OK")</x:f>
        <x:v>OK</x:v>
      </x:c>
      <x:c r="M8" s="56" t="str">
        <x:f>IF(D8="","Missing PO","Matched")</x:f>
        <x:v>Missing PO</x:v>
      </x:c>
      <x:c r="N8" s="56" t="str">
        <x:f>IF(ABS(H8-G8*0.13)&lt;=1,"OK","Review Tax")</x:f>
        <x:v>OK</x:v>
      </x:c>
      <x:c r="O8" s="122" t="n">
        <x:f>IF(J8="Paid",0,MAX(0,TODAY()-F8))</x:f>
        <x:v>0</x:v>
      </x:c>
      <x:c r="P8" s="56" t="str">
        <x:f>IF(OR(L8="Duplicate Risk",M8="Missing PO",N8="Review Tax",O8&gt;30,K8&lt;&gt;"Approved"),"High","Low")</x:f>
        <x:v>High</x:v>
      </x:c>
      <x:c r="Q8" s="57" t="str">
        <x:f>TEXTJOIN("; ",TRUE,IF(L8="Duplicate Risk","Duplicate risk",""),IF(M8="Missing PO","Missing PO",""),IF(N8="Review Tax","Tax variance",""),IF(O8&gt;0,"Overdue",""),IF(K8&lt;&gt;"Approved","Approval issue",""))</x:f>
        <x:v>Missing PO; Approval issue</x:v>
      </x:c>
    </x:row>
    <x:row r="9">
      <x:c r="A9" s="55" t="str">
        <x:v>AP-0008</x:v>
      </x:c>
      <x:c r="B9" s="56" t="str">
        <x:v>Vendor 12</x:v>
      </x:c>
      <x:c r="C9" s="56" t="str">
        <x:v>INV-35444</x:v>
      </x:c>
      <x:c r="D9" s="56" t="str"/>
      <x:c r="E9" s="76" t="n">
        <x:v>46152</x:v>
      </x:c>
      <x:c r="F9" s="76" t="n">
        <x:v>46182</x:v>
      </x:c>
      <x:c r="G9" s="80" t="n">
        <x:v>5272.83</x:v>
      </x:c>
      <x:c r="H9" s="80" t="n">
        <x:v>685.47</x:v>
      </x:c>
      <x:c r="I9" s="80" t="n">
        <x:f>G9+H9</x:f>
        <x:v>5958.3</x:v>
      </x:c>
      <x:c r="J9" s="56" t="str">
        <x:v>On Hold</x:v>
      </x:c>
      <x:c r="K9" s="56" t="str">
        <x:v>Rejected</x:v>
      </x:c>
      <x:c r="L9" s="56" t="str">
        <x:f>IF(COUNTIFS($B$2:$B$151,B9,$C$2:$C$151,C9,$I$2:$I$151,I9)&gt;1,"Duplicate Risk","OK")</x:f>
        <x:v>OK</x:v>
      </x:c>
      <x:c r="M9" s="56" t="str">
        <x:f>IF(D9="","Missing PO","Matched")</x:f>
        <x:v>Missing PO</x:v>
      </x:c>
      <x:c r="N9" s="56" t="str">
        <x:f>IF(ABS(H9-G9*0.13)&lt;=1,"OK","Review Tax")</x:f>
        <x:v>OK</x:v>
      </x:c>
      <x:c r="O9" s="122" t="n">
        <x:f>IF(J9="Paid",0,MAX(0,TODAY()-F9))</x:f>
        <x:v>50</x:v>
      </x:c>
      <x:c r="P9" s="56" t="str">
        <x:f>IF(OR(L9="Duplicate Risk",M9="Missing PO",N9="Review Tax",O9&gt;30,K9&lt;&gt;"Approved"),"High","Low")</x:f>
        <x:v>High</x:v>
      </x:c>
      <x:c r="Q9" s="57" t="str">
        <x:f>TEXTJOIN("; ",TRUE,IF(L9="Duplicate Risk","Duplicate risk",""),IF(M9="Missing PO","Missing PO",""),IF(N9="Review Tax","Tax variance",""),IF(O9&gt;0,"Overdue",""),IF(K9&lt;&gt;"Approved","Approval issue",""))</x:f>
        <x:v>Missing PO; Overdue; Approval issue</x:v>
      </x:c>
    </x:row>
    <x:row r="10">
      <x:c r="A10" s="55" t="str">
        <x:v>AP-0009</x:v>
      </x:c>
      <x:c r="B10" s="56" t="str">
        <x:v>Vendor 4</x:v>
      </x:c>
      <x:c r="C10" s="56" t="str">
        <x:v>INV-25723</x:v>
      </x:c>
      <x:c r="D10" s="56" t="str">
        <x:v>PO-1012</x:v>
      </x:c>
      <x:c r="E10" s="76" t="n">
        <x:v>46183</x:v>
      </x:c>
      <x:c r="F10" s="76" t="n">
        <x:v>46213</x:v>
      </x:c>
      <x:c r="G10" s="80" t="n">
        <x:v>3374.58</x:v>
      </x:c>
      <x:c r="H10" s="80" t="n">
        <x:v>438.7</x:v>
      </x:c>
      <x:c r="I10" s="80" t="n">
        <x:f>G10+H10</x:f>
        <x:v>3813.2799999999997</x:v>
      </x:c>
      <x:c r="J10" s="56" t="str">
        <x:v>Paid</x:v>
      </x:c>
      <x:c r="K10" s="56" t="str">
        <x:v>Pending</x:v>
      </x:c>
      <x:c r="L10" s="56" t="str">
        <x:f>IF(COUNTIFS($B$2:$B$151,B10,$C$2:$C$151,C10,$I$2:$I$151,I10)&gt;1,"Duplicate Risk","OK")</x:f>
        <x:v>OK</x:v>
      </x:c>
      <x:c r="M10" s="56" t="str">
        <x:f>IF(D10="","Missing PO","Matched")</x:f>
        <x:v>Matched</x:v>
      </x:c>
      <x:c r="N10" s="56" t="str">
        <x:f>IF(ABS(H10-G10*0.13)&lt;=1,"OK","Review Tax")</x:f>
        <x:v>OK</x:v>
      </x:c>
      <x:c r="O10" s="122" t="n">
        <x:f>IF(J10="Paid",0,MAX(0,TODAY()-F10))</x:f>
        <x:v>0</x:v>
      </x:c>
      <x:c r="P10" s="56" t="str">
        <x:f>IF(OR(L10="Duplicate Risk",M10="Missing PO",N10="Review Tax",O10&gt;30,K10&lt;&gt;"Approved"),"High","Low")</x:f>
        <x:v>High</x:v>
      </x:c>
      <x:c r="Q10" s="57" t="str">
        <x:f>TEXTJOIN("; ",TRUE,IF(L10="Duplicate Risk","Duplicate risk",""),IF(M10="Missing PO","Missing PO",""),IF(N10="Review Tax","Tax variance",""),IF(O10&gt;0,"Overdue",""),IF(K10&lt;&gt;"Approved","Approval issue",""))</x:f>
        <x:v>Approval issue</x:v>
      </x:c>
    </x:row>
    <x:row r="11">
      <x:c r="A11" s="55" t="str">
        <x:v>AP-0010</x:v>
      </x:c>
      <x:c r="B11" s="56" t="str">
        <x:v>Vendor 19</x:v>
      </x:c>
      <x:c r="C11" s="56" t="str">
        <x:v>INV-42575</x:v>
      </x:c>
      <x:c r="D11" s="56" t="str"/>
      <x:c r="E11" s="76" t="n">
        <x:v>46165</x:v>
      </x:c>
      <x:c r="F11" s="76" t="n">
        <x:v>46195</x:v>
      </x:c>
      <x:c r="G11" s="80" t="n">
        <x:v>174.91</x:v>
      </x:c>
      <x:c r="H11" s="80" t="n">
        <x:v>22.74</x:v>
      </x:c>
      <x:c r="I11" s="80" t="n">
        <x:f>G11+H11</x:f>
        <x:v>197.65</x:v>
      </x:c>
      <x:c r="J11" s="56" t="str">
        <x:v>Paid</x:v>
      </x:c>
      <x:c r="K11" s="56" t="str">
        <x:v>Pending</x:v>
      </x:c>
      <x:c r="L11" s="56" t="str">
        <x:f>IF(COUNTIFS($B$2:$B$151,B11,$C$2:$C$151,C11,$I$2:$I$151,I11)&gt;1,"Duplicate Risk","OK")</x:f>
        <x:v>OK</x:v>
      </x:c>
      <x:c r="M11" s="56" t="str">
        <x:f>IF(D11="","Missing PO","Matched")</x:f>
        <x:v>Missing PO</x:v>
      </x:c>
      <x:c r="N11" s="56" t="str">
        <x:f>IF(ABS(H11-G11*0.13)&lt;=1,"OK","Review Tax")</x:f>
        <x:v>OK</x:v>
      </x:c>
      <x:c r="O11" s="122" t="n">
        <x:f>IF(J11="Paid",0,MAX(0,TODAY()-F11))</x:f>
        <x:v>0</x:v>
      </x:c>
      <x:c r="P11" s="56" t="str">
        <x:f>IF(OR(L11="Duplicate Risk",M11="Missing PO",N11="Review Tax",O11&gt;30,K11&lt;&gt;"Approved"),"High","Low")</x:f>
        <x:v>High</x:v>
      </x:c>
      <x:c r="Q11" s="57" t="str">
        <x:f>TEXTJOIN("; ",TRUE,IF(L11="Duplicate Risk","Duplicate risk",""),IF(M11="Missing PO","Missing PO",""),IF(N11="Review Tax","Tax variance",""),IF(O11&gt;0,"Overdue",""),IF(K11&lt;&gt;"Approved","Approval issue",""))</x:f>
        <x:v>Missing PO; Approval issue</x:v>
      </x:c>
    </x:row>
    <x:row r="12">
      <x:c r="A12" s="55" t="str">
        <x:v>AP-0011</x:v>
      </x:c>
      <x:c r="B12" s="56" t="str">
        <x:v>Vendor 1</x:v>
      </x:c>
      <x:c r="C12" s="56" t="str">
        <x:v>INV-28447</x:v>
      </x:c>
      <x:c r="D12" s="56" t="str"/>
      <x:c r="E12" s="76" t="n">
        <x:v>46195</x:v>
      </x:c>
      <x:c r="F12" s="76" t="n">
        <x:v>46240</x:v>
      </x:c>
      <x:c r="G12" s="80" t="n">
        <x:v>7935.5</x:v>
      </x:c>
      <x:c r="H12" s="80" t="n">
        <x:v>1031.62</x:v>
      </x:c>
      <x:c r="I12" s="80" t="n">
        <x:f>G12+H12</x:f>
        <x:v>8967.119999999999</x:v>
      </x:c>
      <x:c r="J12" s="56" t="str">
        <x:v>Unpaid</x:v>
      </x:c>
      <x:c r="K12" s="56" t="str">
        <x:v>Rejected</x:v>
      </x:c>
      <x:c r="L12" s="56" t="str">
        <x:f>IF(COUNTIFS($B$2:$B$151,B12,$C$2:$C$151,C12,$I$2:$I$151,I12)&gt;1,"Duplicate Risk","OK")</x:f>
        <x:v>OK</x:v>
      </x:c>
      <x:c r="M12" s="56" t="str">
        <x:f>IF(D12="","Missing PO","Matched")</x:f>
        <x:v>Missing PO</x:v>
      </x:c>
      <x:c r="N12" s="56" t="str">
        <x:f>IF(ABS(H12-G12*0.13)&lt;=1,"OK","Review Tax")</x:f>
        <x:v>OK</x:v>
      </x:c>
      <x:c r="O12" s="122" t="n">
        <x:f>IF(J12="Paid",0,MAX(0,TODAY()-F12))</x:f>
        <x:v>0</x:v>
      </x:c>
      <x:c r="P12" s="56" t="str">
        <x:f>IF(OR(L12="Duplicate Risk",M12="Missing PO",N12="Review Tax",O12&gt;30,K12&lt;&gt;"Approved"),"High","Low")</x:f>
        <x:v>High</x:v>
      </x:c>
      <x:c r="Q12" s="57" t="str">
        <x:f>TEXTJOIN("; ",TRUE,IF(L12="Duplicate Risk","Duplicate risk",""),IF(M12="Missing PO","Missing PO",""),IF(N12="Review Tax","Tax variance",""),IF(O12&gt;0,"Overdue",""),IF(K12&lt;&gt;"Approved","Approval issue",""))</x:f>
        <x:v>Missing PO; Approval issue</x:v>
      </x:c>
    </x:row>
    <x:row r="13">
      <x:c r="A13" s="55" t="str">
        <x:v>AP-0012</x:v>
      </x:c>
      <x:c r="B13" s="56" t="str">
        <x:v>Vendor 20</x:v>
      </x:c>
      <x:c r="C13" s="56" t="str">
        <x:v>INV-20174</x:v>
      </x:c>
      <x:c r="D13" s="56" t="str"/>
      <x:c r="E13" s="76" t="n">
        <x:v>46191</x:v>
      </x:c>
      <x:c r="F13" s="76" t="n">
        <x:v>46206</x:v>
      </x:c>
      <x:c r="G13" s="80" t="n">
        <x:v>792.72</x:v>
      </x:c>
      <x:c r="H13" s="80" t="n">
        <x:v>103.05</x:v>
      </x:c>
      <x:c r="I13" s="80" t="n">
        <x:f>G13+H13</x:f>
        <x:v>895.77</x:v>
      </x:c>
      <x:c r="J13" s="56" t="str">
        <x:v>Unpaid</x:v>
      </x:c>
      <x:c r="K13" s="56" t="str">
        <x:v>Pending</x:v>
      </x:c>
      <x:c r="L13" s="56" t="str">
        <x:f>IF(COUNTIFS($B$2:$B$151,B13,$C$2:$C$151,C13,$I$2:$I$151,I13)&gt;1,"Duplicate Risk","OK")</x:f>
        <x:v>OK</x:v>
      </x:c>
      <x:c r="M13" s="56" t="str">
        <x:f>IF(D13="","Missing PO","Matched")</x:f>
        <x:v>Missing PO</x:v>
      </x:c>
      <x:c r="N13" s="56" t="str">
        <x:f>IF(ABS(H13-G13*0.13)&lt;=1,"OK","Review Tax")</x:f>
        <x:v>OK</x:v>
      </x:c>
      <x:c r="O13" s="122" t="n">
        <x:f>IF(J13="Paid",0,MAX(0,TODAY()-F13))</x:f>
        <x:v>26</x:v>
      </x:c>
      <x:c r="P13" s="56" t="str">
        <x:f>IF(OR(L13="Duplicate Risk",M13="Missing PO",N13="Review Tax",O13&gt;30,K13&lt;&gt;"Approved"),"High","Low")</x:f>
        <x:v>High</x:v>
      </x:c>
      <x:c r="Q13" s="57" t="str">
        <x:f>TEXTJOIN("; ",TRUE,IF(L13="Duplicate Risk","Duplicate risk",""),IF(M13="Missing PO","Missing PO",""),IF(N13="Review Tax","Tax variance",""),IF(O13&gt;0,"Overdue",""),IF(K13&lt;&gt;"Approved","Approval issue",""))</x:f>
        <x:v>Missing PO; Overdue; Approval issue</x:v>
      </x:c>
    </x:row>
    <x:row r="14">
      <x:c r="A14" s="55" t="str">
        <x:v>AP-0013</x:v>
      </x:c>
      <x:c r="B14" s="56" t="str">
        <x:v>Vendor 29</x:v>
      </x:c>
      <x:c r="C14" s="56" t="str">
        <x:v>INV-25667</x:v>
      </x:c>
      <x:c r="D14" s="56" t="str">
        <x:v>PO-1010</x:v>
      </x:c>
      <x:c r="E14" s="76" t="n">
        <x:v>46165</x:v>
      </x:c>
      <x:c r="F14" s="76" t="n">
        <x:v>46195</x:v>
      </x:c>
      <x:c r="G14" s="80" t="n">
        <x:v>7065.18</x:v>
      </x:c>
      <x:c r="H14" s="80" t="n">
        <x:v>912.25</x:v>
      </x:c>
      <x:c r="I14" s="80" t="n">
        <x:f>G14+H14</x:f>
        <x:v>7977.43</x:v>
      </x:c>
      <x:c r="J14" s="56" t="str">
        <x:v>Unpaid</x:v>
      </x:c>
      <x:c r="K14" s="56" t="str">
        <x:v>Approved</x:v>
      </x:c>
      <x:c r="L14" s="56" t="str">
        <x:f>IF(COUNTIFS($B$2:$B$151,B14,$C$2:$C$151,C14,$I$2:$I$151,I14)&gt;1,"Duplicate Risk","OK")</x:f>
        <x:v>Duplicate Risk</x:v>
      </x:c>
      <x:c r="M14" s="56" t="str">
        <x:f>IF(D14="","Missing PO","Matched")</x:f>
        <x:v>Matched</x:v>
      </x:c>
      <x:c r="N14" s="56" t="str">
        <x:f>IF(ABS(H14-G14*0.13)&lt;=1,"OK","Review Tax")</x:f>
        <x:v>Review Tax</x:v>
      </x:c>
      <x:c r="O14" s="122" t="n">
        <x:f>IF(J14="Paid",0,MAX(0,TODAY()-F14))</x:f>
        <x:v>37</x:v>
      </x:c>
      <x:c r="P14" s="56" t="str">
        <x:f>IF(OR(L14="Duplicate Risk",M14="Missing PO",N14="Review Tax",O14&gt;30,K14&lt;&gt;"Approved"),"High","Low")</x:f>
        <x:v>High</x:v>
      </x:c>
      <x:c r="Q14" s="57" t="str">
        <x:f>TEXTJOIN("; ",TRUE,IF(L14="Duplicate Risk","Duplicate risk",""),IF(M14="Missing PO","Missing PO",""),IF(N14="Review Tax","Tax variance",""),IF(O14&gt;0,"Overdue",""),IF(K14&lt;&gt;"Approved","Approval issue",""))</x:f>
        <x:v>Duplicate risk; Tax variance; Overdue</x:v>
      </x:c>
    </x:row>
    <x:row r="15">
      <x:c r="A15" s="55" t="str">
        <x:v>AP-0014</x:v>
      </x:c>
      <x:c r="B15" s="56" t="str">
        <x:v>Vendor 4</x:v>
      </x:c>
      <x:c r="C15" s="56" t="str">
        <x:v>INV-36225</x:v>
      </x:c>
      <x:c r="D15" s="56" t="str">
        <x:v>PO-1090</x:v>
      </x:c>
      <x:c r="E15" s="76" t="n">
        <x:v>46155</x:v>
      </x:c>
      <x:c r="F15" s="76" t="n">
        <x:v>46170</x:v>
      </x:c>
      <x:c r="G15" s="80" t="n">
        <x:v>10327.81</x:v>
      </x:c>
      <x:c r="H15" s="80" t="n">
        <x:v>1340.27</x:v>
      </x:c>
      <x:c r="I15" s="80" t="n">
        <x:f>G15+H15</x:f>
        <x:v>11668.08</x:v>
      </x:c>
      <x:c r="J15" s="56" t="str">
        <x:v>On Hold</x:v>
      </x:c>
      <x:c r="K15" s="56" t="str">
        <x:v>Rejected</x:v>
      </x:c>
      <x:c r="L15" s="56" t="str">
        <x:f>IF(COUNTIFS($B$2:$B$151,B15,$C$2:$C$151,C15,$I$2:$I$151,I15)&gt;1,"Duplicate Risk","OK")</x:f>
        <x:v>OK</x:v>
      </x:c>
      <x:c r="M15" s="56" t="str">
        <x:f>IF(D15="","Missing PO","Matched")</x:f>
        <x:v>Matched</x:v>
      </x:c>
      <x:c r="N15" s="56" t="str">
        <x:f>IF(ABS(H15-G15*0.13)&lt;=1,"OK","Review Tax")</x:f>
        <x:v>Review Tax</x:v>
      </x:c>
      <x:c r="O15" s="122" t="n">
        <x:f>IF(J15="Paid",0,MAX(0,TODAY()-F15))</x:f>
        <x:v>62</x:v>
      </x:c>
      <x:c r="P15" s="56" t="str">
        <x:f>IF(OR(L15="Duplicate Risk",M15="Missing PO",N15="Review Tax",O15&gt;30,K15&lt;&gt;"Approved"),"High","Low")</x:f>
        <x:v>High</x:v>
      </x:c>
      <x:c r="Q15" s="57" t="str">
        <x:f>TEXTJOIN("; ",TRUE,IF(L15="Duplicate Risk","Duplicate risk",""),IF(M15="Missing PO","Missing PO",""),IF(N15="Review Tax","Tax variance",""),IF(O15&gt;0,"Overdue",""),IF(K15&lt;&gt;"Approved","Approval issue",""))</x:f>
        <x:v>Tax variance; Overdue; Approval issue</x:v>
      </x:c>
    </x:row>
    <x:row r="16">
      <x:c r="A16" s="55" t="str">
        <x:v>AP-0015</x:v>
      </x:c>
      <x:c r="B16" s="56" t="str">
        <x:v>Vendor 16</x:v>
      </x:c>
      <x:c r="C16" s="56" t="str">
        <x:v>INV-25969</x:v>
      </x:c>
      <x:c r="D16" s="56" t="str">
        <x:v>PO-1052</x:v>
      </x:c>
      <x:c r="E16" s="76" t="n">
        <x:v>46190</x:v>
      </x:c>
      <x:c r="F16" s="76" t="n">
        <x:v>46235</x:v>
      </x:c>
      <x:c r="G16" s="80" t="n">
        <x:v>184.79</x:v>
      </x:c>
      <x:c r="H16" s="80" t="n">
        <x:v>16.47</x:v>
      </x:c>
      <x:c r="I16" s="80" t="n">
        <x:f>G16+H16</x:f>
        <x:v>201.26</x:v>
      </x:c>
      <x:c r="J16" s="56" t="str">
        <x:v>Unpaid</x:v>
      </x:c>
      <x:c r="K16" s="56" t="str">
        <x:v>Pending</x:v>
      </x:c>
      <x:c r="L16" s="56" t="str">
        <x:f>IF(COUNTIFS($B$2:$B$151,B16,$C$2:$C$151,C16,$I$2:$I$151,I16)&gt;1,"Duplicate Risk","OK")</x:f>
        <x:v>OK</x:v>
      </x:c>
      <x:c r="M16" s="56" t="str">
        <x:f>IF(D16="","Missing PO","Matched")</x:f>
        <x:v>Matched</x:v>
      </x:c>
      <x:c r="N16" s="56" t="str">
        <x:f>IF(ABS(H16-G16*0.13)&lt;=1,"OK","Review Tax")</x:f>
        <x:v>Review Tax</x:v>
      </x:c>
      <x:c r="O16" s="122" t="n">
        <x:f>IF(J16="Paid",0,MAX(0,TODAY()-F16))</x:f>
        <x:v>0</x:v>
      </x:c>
      <x:c r="P16" s="56" t="str">
        <x:f>IF(OR(L16="Duplicate Risk",M16="Missing PO",N16="Review Tax",O16&gt;30,K16&lt;&gt;"Approved"),"High","Low")</x:f>
        <x:v>High</x:v>
      </x:c>
      <x:c r="Q16" s="57" t="str">
        <x:f>TEXTJOIN("; ",TRUE,IF(L16="Duplicate Risk","Duplicate risk",""),IF(M16="Missing PO","Missing PO",""),IF(N16="Review Tax","Tax variance",""),IF(O16&gt;0,"Overdue",""),IF(K16&lt;&gt;"Approved","Approval issue",""))</x:f>
        <x:v>Tax variance; Approval issue</x:v>
      </x:c>
    </x:row>
    <x:row r="17">
      <x:c r="A17" s="55" t="str">
        <x:v>AP-0016</x:v>
      </x:c>
      <x:c r="B17" s="56" t="str">
        <x:v>Vendor 16</x:v>
      </x:c>
      <x:c r="C17" s="56" t="str">
        <x:v>INV-36689</x:v>
      </x:c>
      <x:c r="D17" s="56" t="str"/>
      <x:c r="E17" s="76" t="n">
        <x:v>46164</x:v>
      </x:c>
      <x:c r="F17" s="76" t="n">
        <x:v>46209</x:v>
      </x:c>
      <x:c r="G17" s="80" t="n">
        <x:v>6008.44</x:v>
      </x:c>
      <x:c r="H17" s="80" t="n">
        <x:v>781.1</x:v>
      </x:c>
      <x:c r="I17" s="80" t="n">
        <x:f>G17+H17</x:f>
        <x:v>6789.54</x:v>
      </x:c>
      <x:c r="J17" s="56" t="str">
        <x:v>On Hold</x:v>
      </x:c>
      <x:c r="K17" s="56" t="str">
        <x:v>Pending</x:v>
      </x:c>
      <x:c r="L17" s="56" t="str">
        <x:f>IF(COUNTIFS($B$2:$B$151,B17,$C$2:$C$151,C17,$I$2:$I$151,I17)&gt;1,"Duplicate Risk","OK")</x:f>
        <x:v>OK</x:v>
      </x:c>
      <x:c r="M17" s="56" t="str">
        <x:f>IF(D17="","Missing PO","Matched")</x:f>
        <x:v>Missing PO</x:v>
      </x:c>
      <x:c r="N17" s="56" t="str">
        <x:f>IF(ABS(H17-G17*0.13)&lt;=1,"OK","Review Tax")</x:f>
        <x:v>OK</x:v>
      </x:c>
      <x:c r="O17" s="122" t="n">
        <x:f>IF(J17="Paid",0,MAX(0,TODAY()-F17))</x:f>
        <x:v>23</x:v>
      </x:c>
      <x:c r="P17" s="56" t="str">
        <x:f>IF(OR(L17="Duplicate Risk",M17="Missing PO",N17="Review Tax",O17&gt;30,K17&lt;&gt;"Approved"),"High","Low")</x:f>
        <x:v>High</x:v>
      </x:c>
      <x:c r="Q17" s="57" t="str">
        <x:f>TEXTJOIN("; ",TRUE,IF(L17="Duplicate Risk","Duplicate risk",""),IF(M17="Missing PO","Missing PO",""),IF(N17="Review Tax","Tax variance",""),IF(O17&gt;0,"Overdue",""),IF(K17&lt;&gt;"Approved","Approval issue",""))</x:f>
        <x:v>Missing PO; Overdue; Approval issue</x:v>
      </x:c>
    </x:row>
    <x:row r="18">
      <x:c r="A18" s="55" t="str">
        <x:v>AP-0017</x:v>
      </x:c>
      <x:c r="B18" s="56" t="str">
        <x:v>Vendor 27</x:v>
      </x:c>
      <x:c r="C18" s="56" t="str">
        <x:v>INV-28030</x:v>
      </x:c>
      <x:c r="D18" s="56" t="str">
        <x:v>PO-1050</x:v>
      </x:c>
      <x:c r="E18" s="76" t="n">
        <x:v>46172</x:v>
      </x:c>
      <x:c r="F18" s="76" t="n">
        <x:v>46217</x:v>
      </x:c>
      <x:c r="G18" s="80" t="n">
        <x:v>6843.79</x:v>
      </x:c>
      <x:c r="H18" s="80" t="n">
        <x:v>889.69</x:v>
      </x:c>
      <x:c r="I18" s="80" t="n">
        <x:f>G18+H18</x:f>
        <x:v>7733.48</x:v>
      </x:c>
      <x:c r="J18" s="56" t="str">
        <x:v>Unpaid</x:v>
      </x:c>
      <x:c r="K18" s="56" t="str">
        <x:v>Pending</x:v>
      </x:c>
      <x:c r="L18" s="56" t="str">
        <x:f>IF(COUNTIFS($B$2:$B$151,B18,$C$2:$C$151,C18,$I$2:$I$151,I18)&gt;1,"Duplicate Risk","OK")</x:f>
        <x:v>OK</x:v>
      </x:c>
      <x:c r="M18" s="56" t="str">
        <x:f>IF(D18="","Missing PO","Matched")</x:f>
        <x:v>Matched</x:v>
      </x:c>
      <x:c r="N18" s="56" t="str">
        <x:f>IF(ABS(H18-G18*0.13)&lt;=1,"OK","Review Tax")</x:f>
        <x:v>OK</x:v>
      </x:c>
      <x:c r="O18" s="122" t="n">
        <x:f>IF(J18="Paid",0,MAX(0,TODAY()-F18))</x:f>
        <x:v>15</x:v>
      </x:c>
      <x:c r="P18" s="56" t="str">
        <x:f>IF(OR(L18="Duplicate Risk",M18="Missing PO",N18="Review Tax",O18&gt;30,K18&lt;&gt;"Approved"),"High","Low")</x:f>
        <x:v>High</x:v>
      </x:c>
      <x:c r="Q18" s="57" t="str">
        <x:f>TEXTJOIN("; ",TRUE,IF(L18="Duplicate Risk","Duplicate risk",""),IF(M18="Missing PO","Missing PO",""),IF(N18="Review Tax","Tax variance",""),IF(O18&gt;0,"Overdue",""),IF(K18&lt;&gt;"Approved","Approval issue",""))</x:f>
        <x:v>Overdue; Approval issue</x:v>
      </x:c>
    </x:row>
    <x:row r="19">
      <x:c r="A19" s="55" t="str">
        <x:v>AP-0018</x:v>
      </x:c>
      <x:c r="B19" s="56" t="str">
        <x:v>Vendor 23</x:v>
      </x:c>
      <x:c r="C19" s="56" t="str">
        <x:v>INV-24274</x:v>
      </x:c>
      <x:c r="D19" s="56" t="str"/>
      <x:c r="E19" s="76" t="n">
        <x:v>46197</x:v>
      </x:c>
      <x:c r="F19" s="76" t="n">
        <x:v>46212</x:v>
      </x:c>
      <x:c r="G19" s="80" t="n">
        <x:v>4978.22</x:v>
      </x:c>
      <x:c r="H19" s="80" t="n">
        <x:v>647.17</x:v>
      </x:c>
      <x:c r="I19" s="80" t="n">
        <x:f>G19+H19</x:f>
        <x:v>5625.39</x:v>
      </x:c>
      <x:c r="J19" s="56" t="str">
        <x:v>On Hold</x:v>
      </x:c>
      <x:c r="K19" s="56" t="str">
        <x:v>Pending</x:v>
      </x:c>
      <x:c r="L19" s="56" t="str">
        <x:f>IF(COUNTIFS($B$2:$B$151,B19,$C$2:$C$151,C19,$I$2:$I$151,I19)&gt;1,"Duplicate Risk","OK")</x:f>
        <x:v>OK</x:v>
      </x:c>
      <x:c r="M19" s="56" t="str">
        <x:f>IF(D19="","Missing PO","Matched")</x:f>
        <x:v>Missing PO</x:v>
      </x:c>
      <x:c r="N19" s="56" t="str">
        <x:f>IF(ABS(H19-G19*0.13)&lt;=1,"OK","Review Tax")</x:f>
        <x:v>OK</x:v>
      </x:c>
      <x:c r="O19" s="122" t="n">
        <x:f>IF(J19="Paid",0,MAX(0,TODAY()-F19))</x:f>
        <x:v>20</x:v>
      </x:c>
      <x:c r="P19" s="56" t="str">
        <x:f>IF(OR(L19="Duplicate Risk",M19="Missing PO",N19="Review Tax",O19&gt;30,K19&lt;&gt;"Approved"),"High","Low")</x:f>
        <x:v>High</x:v>
      </x:c>
      <x:c r="Q19" s="57" t="str">
        <x:f>TEXTJOIN("; ",TRUE,IF(L19="Duplicate Risk","Duplicate risk",""),IF(M19="Missing PO","Missing PO",""),IF(N19="Review Tax","Tax variance",""),IF(O19&gt;0,"Overdue",""),IF(K19&lt;&gt;"Approved","Approval issue",""))</x:f>
        <x:v>Missing PO; Overdue; Approval issue</x:v>
      </x:c>
    </x:row>
    <x:row r="20">
      <x:c r="A20" s="55" t="str">
        <x:v>AP-0019</x:v>
      </x:c>
      <x:c r="B20" s="56" t="str">
        <x:v>Vendor 7</x:v>
      </x:c>
      <x:c r="C20" s="56" t="str">
        <x:v>INV-48050</x:v>
      </x:c>
      <x:c r="D20" s="56" t="str"/>
      <x:c r="E20" s="76" t="n">
        <x:v>46172</x:v>
      </x:c>
      <x:c r="F20" s="76" t="n">
        <x:v>46187</x:v>
      </x:c>
      <x:c r="G20" s="80" t="n">
        <x:v>1372.08</x:v>
      </x:c>
      <x:c r="H20" s="80" t="n">
        <x:v>178.37</x:v>
      </x:c>
      <x:c r="I20" s="80" t="n">
        <x:f>G20+H20</x:f>
        <x:v>1550.4499999999998</x:v>
      </x:c>
      <x:c r="J20" s="56" t="str">
        <x:v>Unpaid</x:v>
      </x:c>
      <x:c r="K20" s="56" t="str">
        <x:v>Pending</x:v>
      </x:c>
      <x:c r="L20" s="56" t="str">
        <x:f>IF(COUNTIFS($B$2:$B$151,B20,$C$2:$C$151,C20,$I$2:$I$151,I20)&gt;1,"Duplicate Risk","OK")</x:f>
        <x:v>OK</x:v>
      </x:c>
      <x:c r="M20" s="56" t="str">
        <x:f>IF(D20="","Missing PO","Matched")</x:f>
        <x:v>Missing PO</x:v>
      </x:c>
      <x:c r="N20" s="56" t="str">
        <x:f>IF(ABS(H20-G20*0.13)&lt;=1,"OK","Review Tax")</x:f>
        <x:v>OK</x:v>
      </x:c>
      <x:c r="O20" s="122" t="n">
        <x:f>IF(J20="Paid",0,MAX(0,TODAY()-F20))</x:f>
        <x:v>45</x:v>
      </x:c>
      <x:c r="P20" s="56" t="str">
        <x:f>IF(OR(L20="Duplicate Risk",M20="Missing PO",N20="Review Tax",O20&gt;30,K20&lt;&gt;"Approved"),"High","Low")</x:f>
        <x:v>High</x:v>
      </x:c>
      <x:c r="Q20" s="57" t="str">
        <x:f>TEXTJOIN("; ",TRUE,IF(L20="Duplicate Risk","Duplicate risk",""),IF(M20="Missing PO","Missing PO",""),IF(N20="Review Tax","Tax variance",""),IF(O20&gt;0,"Overdue",""),IF(K20&lt;&gt;"Approved","Approval issue",""))</x:f>
        <x:v>Missing PO; Overdue; Approval issue</x:v>
      </x:c>
    </x:row>
    <x:row r="21">
      <x:c r="A21" s="55" t="str">
        <x:v>AP-0020</x:v>
      </x:c>
      <x:c r="B21" s="56" t="str">
        <x:v>Vendor 7</x:v>
      </x:c>
      <x:c r="C21" s="56" t="str">
        <x:v>INV-36490</x:v>
      </x:c>
      <x:c r="D21" s="56" t="str">
        <x:v>PO-1083</x:v>
      </x:c>
      <x:c r="E21" s="76" t="n">
        <x:v>46167</x:v>
      </x:c>
      <x:c r="F21" s="76" t="n">
        <x:v>46197</x:v>
      </x:c>
      <x:c r="G21" s="80" t="n">
        <x:v>7057.07</x:v>
      </x:c>
      <x:c r="H21" s="80" t="n">
        <x:v>917.42</x:v>
      </x:c>
      <x:c r="I21" s="80" t="n">
        <x:f>G21+H21</x:f>
        <x:v>7974.49</x:v>
      </x:c>
      <x:c r="J21" s="56" t="str">
        <x:v>Paid</x:v>
      </x:c>
      <x:c r="K21" s="56" t="str">
        <x:v>Pending</x:v>
      </x:c>
      <x:c r="L21" s="56" t="str">
        <x:f>IF(COUNTIFS($B$2:$B$151,B21,$C$2:$C$151,C21,$I$2:$I$151,I21)&gt;1,"Duplicate Risk","OK")</x:f>
        <x:v>OK</x:v>
      </x:c>
      <x:c r="M21" s="56" t="str">
        <x:f>IF(D21="","Missing PO","Matched")</x:f>
        <x:v>Matched</x:v>
      </x:c>
      <x:c r="N21" s="56" t="str">
        <x:f>IF(ABS(H21-G21*0.13)&lt;=1,"OK","Review Tax")</x:f>
        <x:v>OK</x:v>
      </x:c>
      <x:c r="O21" s="122" t="n">
        <x:f>IF(J21="Paid",0,MAX(0,TODAY()-F21))</x:f>
        <x:v>0</x:v>
      </x:c>
      <x:c r="P21" s="56" t="str">
        <x:f>IF(OR(L21="Duplicate Risk",M21="Missing PO",N21="Review Tax",O21&gt;30,K21&lt;&gt;"Approved"),"High","Low")</x:f>
        <x:v>High</x:v>
      </x:c>
      <x:c r="Q21" s="57" t="str">
        <x:f>TEXTJOIN("; ",TRUE,IF(L21="Duplicate Risk","Duplicate risk",""),IF(M21="Missing PO","Missing PO",""),IF(N21="Review Tax","Tax variance",""),IF(O21&gt;0,"Overdue",""),IF(K21&lt;&gt;"Approved","Approval issue",""))</x:f>
        <x:v>Approval issue</x:v>
      </x:c>
    </x:row>
    <x:row r="22">
      <x:c r="A22" s="55" t="str">
        <x:v>AP-0021</x:v>
      </x:c>
      <x:c r="B22" s="56" t="str">
        <x:v>Vendor 23</x:v>
      </x:c>
      <x:c r="C22" s="56" t="str">
        <x:v>INV-43390</x:v>
      </x:c>
      <x:c r="D22" s="56" t="str">
        <x:v>PO-1039</x:v>
      </x:c>
      <x:c r="E22" s="76" t="n">
        <x:v>46149</x:v>
      </x:c>
      <x:c r="F22" s="76" t="n">
        <x:v>46179</x:v>
      </x:c>
      <x:c r="G22" s="80" t="n">
        <x:v>10795.82</x:v>
      </x:c>
      <x:c r="H22" s="80" t="n">
        <x:v>1403.46</x:v>
      </x:c>
      <x:c r="I22" s="80" t="n">
        <x:f>G22+H22</x:f>
        <x:v>12199.279999999999</x:v>
      </x:c>
      <x:c r="J22" s="56" t="str">
        <x:v>On Hold</x:v>
      </x:c>
      <x:c r="K22" s="56" t="str">
        <x:v>Pending</x:v>
      </x:c>
      <x:c r="L22" s="56" t="str">
        <x:f>IF(COUNTIFS($B$2:$B$151,B22,$C$2:$C$151,C22,$I$2:$I$151,I22)&gt;1,"Duplicate Risk","OK")</x:f>
        <x:v>OK</x:v>
      </x:c>
      <x:c r="M22" s="56" t="str">
        <x:f>IF(D22="","Missing PO","Matched")</x:f>
        <x:v>Matched</x:v>
      </x:c>
      <x:c r="N22" s="56" t="str">
        <x:f>IF(ABS(H22-G22*0.13)&lt;=1,"OK","Review Tax")</x:f>
        <x:v>OK</x:v>
      </x:c>
      <x:c r="O22" s="122" t="n">
        <x:f>IF(J22="Paid",0,MAX(0,TODAY()-F22))</x:f>
        <x:v>53</x:v>
      </x:c>
      <x:c r="P22" s="56" t="str">
        <x:f>IF(OR(L22="Duplicate Risk",M22="Missing PO",N22="Review Tax",O22&gt;30,K22&lt;&gt;"Approved"),"High","Low")</x:f>
        <x:v>High</x:v>
      </x:c>
      <x:c r="Q22" s="57" t="str">
        <x:f>TEXTJOIN("; ",TRUE,IF(L22="Duplicate Risk","Duplicate risk",""),IF(M22="Missing PO","Missing PO",""),IF(N22="Review Tax","Tax variance",""),IF(O22&gt;0,"Overdue",""),IF(K22&lt;&gt;"Approved","Approval issue",""))</x:f>
        <x:v>Overdue; Approval issue</x:v>
      </x:c>
    </x:row>
    <x:row r="23">
      <x:c r="A23" s="55" t="str">
        <x:v>AP-0022</x:v>
      </x:c>
      <x:c r="B23" s="56" t="str">
        <x:v>Vendor 19</x:v>
      </x:c>
      <x:c r="C23" s="56" t="str">
        <x:v>INV-39550</x:v>
      </x:c>
      <x:c r="D23" s="56" t="str"/>
      <x:c r="E23" s="76" t="n">
        <x:v>46169</x:v>
      </x:c>
      <x:c r="F23" s="76" t="n">
        <x:v>46214</x:v>
      </x:c>
      <x:c r="G23" s="80" t="n">
        <x:v>11983.5</x:v>
      </x:c>
      <x:c r="H23" s="80" t="n">
        <x:v>1557.86</x:v>
      </x:c>
      <x:c r="I23" s="80" t="n">
        <x:f>G23+H23</x:f>
        <x:v>13541.36</x:v>
      </x:c>
      <x:c r="J23" s="56" t="str">
        <x:v>On Hold</x:v>
      </x:c>
      <x:c r="K23" s="56" t="str">
        <x:v>Rejected</x:v>
      </x:c>
      <x:c r="L23" s="56" t="str">
        <x:f>IF(COUNTIFS($B$2:$B$151,B23,$C$2:$C$151,C23,$I$2:$I$151,I23)&gt;1,"Duplicate Risk","OK")</x:f>
        <x:v>OK</x:v>
      </x:c>
      <x:c r="M23" s="56" t="str">
        <x:f>IF(D23="","Missing PO","Matched")</x:f>
        <x:v>Missing PO</x:v>
      </x:c>
      <x:c r="N23" s="56" t="str">
        <x:f>IF(ABS(H23-G23*0.13)&lt;=1,"OK","Review Tax")</x:f>
        <x:v>OK</x:v>
      </x:c>
      <x:c r="O23" s="122" t="n">
        <x:f>IF(J23="Paid",0,MAX(0,TODAY()-F23))</x:f>
        <x:v>18</x:v>
      </x:c>
      <x:c r="P23" s="56" t="str">
        <x:f>IF(OR(L23="Duplicate Risk",M23="Missing PO",N23="Review Tax",O23&gt;30,K23&lt;&gt;"Approved"),"High","Low")</x:f>
        <x:v>High</x:v>
      </x:c>
      <x:c r="Q23" s="57" t="str">
        <x:f>TEXTJOIN("; ",TRUE,IF(L23="Duplicate Risk","Duplicate risk",""),IF(M23="Missing PO","Missing PO",""),IF(N23="Review Tax","Tax variance",""),IF(O23&gt;0,"Overdue",""),IF(K23&lt;&gt;"Approved","Approval issue",""))</x:f>
        <x:v>Missing PO; Overdue; Approval issue</x:v>
      </x:c>
    </x:row>
    <x:row r="24">
      <x:c r="A24" s="55" t="str">
        <x:v>AP-0023</x:v>
      </x:c>
      <x:c r="B24" s="56" t="str">
        <x:v>Vendor 12</x:v>
      </x:c>
      <x:c r="C24" s="56" t="str">
        <x:v>INV-46939</x:v>
      </x:c>
      <x:c r="D24" s="56" t="str"/>
      <x:c r="E24" s="76" t="n">
        <x:v>46160</x:v>
      </x:c>
      <x:c r="F24" s="76" t="n">
        <x:v>46205</x:v>
      </x:c>
      <x:c r="G24" s="80" t="n">
        <x:v>8875.78</x:v>
      </x:c>
      <x:c r="H24" s="80" t="n">
        <x:v>1153.85</x:v>
      </x:c>
      <x:c r="I24" s="80" t="n">
        <x:f>G24+H24</x:f>
        <x:v>10029.630000000001</x:v>
      </x:c>
      <x:c r="J24" s="56" t="str">
        <x:v>Paid</x:v>
      </x:c>
      <x:c r="K24" s="56" t="str">
        <x:v>Rejected</x:v>
      </x:c>
      <x:c r="L24" s="56" t="str">
        <x:f>IF(COUNTIFS($B$2:$B$151,B24,$C$2:$C$151,C24,$I$2:$I$151,I24)&gt;1,"Duplicate Risk","OK")</x:f>
        <x:v>OK</x:v>
      </x:c>
      <x:c r="M24" s="56" t="str">
        <x:f>IF(D24="","Missing PO","Matched")</x:f>
        <x:v>Missing PO</x:v>
      </x:c>
      <x:c r="N24" s="56" t="str">
        <x:f>IF(ABS(H24-G24*0.13)&lt;=1,"OK","Review Tax")</x:f>
        <x:v>OK</x:v>
      </x:c>
      <x:c r="O24" s="122" t="n">
        <x:f>IF(J24="Paid",0,MAX(0,TODAY()-F24))</x:f>
        <x:v>0</x:v>
      </x:c>
      <x:c r="P24" s="56" t="str">
        <x:f>IF(OR(L24="Duplicate Risk",M24="Missing PO",N24="Review Tax",O24&gt;30,K24&lt;&gt;"Approved"),"High","Low")</x:f>
        <x:v>High</x:v>
      </x:c>
      <x:c r="Q24" s="57" t="str">
        <x:f>TEXTJOIN("; ",TRUE,IF(L24="Duplicate Risk","Duplicate risk",""),IF(M24="Missing PO","Missing PO",""),IF(N24="Review Tax","Tax variance",""),IF(O24&gt;0,"Overdue",""),IF(K24&lt;&gt;"Approved","Approval issue",""))</x:f>
        <x:v>Missing PO; Approval issue</x:v>
      </x:c>
    </x:row>
    <x:row r="25">
      <x:c r="A25" s="55" t="str">
        <x:v>AP-0024</x:v>
      </x:c>
      <x:c r="B25" s="56" t="str">
        <x:v>Vendor 2</x:v>
      </x:c>
      <x:c r="C25" s="56" t="str">
        <x:v>INV-31914</x:v>
      </x:c>
      <x:c r="D25" s="56" t="str"/>
      <x:c r="E25" s="76" t="n">
        <x:v>46191</x:v>
      </x:c>
      <x:c r="F25" s="76" t="n">
        <x:v>46236</x:v>
      </x:c>
      <x:c r="G25" s="80" t="n">
        <x:v>2531.91</x:v>
      </x:c>
      <x:c r="H25" s="80" t="n">
        <x:v>329.15</x:v>
      </x:c>
      <x:c r="I25" s="80" t="n">
        <x:f>G25+H25</x:f>
        <x:v>2861.06</x:v>
      </x:c>
      <x:c r="J25" s="56" t="str">
        <x:v>Paid</x:v>
      </x:c>
      <x:c r="K25" s="56" t="str">
        <x:v>Approved</x:v>
      </x:c>
      <x:c r="L25" s="56" t="str">
        <x:f>IF(COUNTIFS($B$2:$B$151,B25,$C$2:$C$151,C25,$I$2:$I$151,I25)&gt;1,"Duplicate Risk","OK")</x:f>
        <x:v>OK</x:v>
      </x:c>
      <x:c r="M25" s="56" t="str">
        <x:f>IF(D25="","Missing PO","Matched")</x:f>
        <x:v>Missing PO</x:v>
      </x:c>
      <x:c r="N25" s="56" t="str">
        <x:f>IF(ABS(H25-G25*0.13)&lt;=1,"OK","Review Tax")</x:f>
        <x:v>OK</x:v>
      </x:c>
      <x:c r="O25" s="122" t="n">
        <x:f>IF(J25="Paid",0,MAX(0,TODAY()-F25))</x:f>
        <x:v>0</x:v>
      </x:c>
      <x:c r="P25" s="56" t="str">
        <x:f>IF(OR(L25="Duplicate Risk",M25="Missing PO",N25="Review Tax",O25&gt;30,K25&lt;&gt;"Approved"),"High","Low")</x:f>
        <x:v>High</x:v>
      </x:c>
      <x:c r="Q25" s="57" t="str">
        <x:f>TEXTJOIN("; ",TRUE,IF(L25="Duplicate Risk","Duplicate risk",""),IF(M25="Missing PO","Missing PO",""),IF(N25="Review Tax","Tax variance",""),IF(O25&gt;0,"Overdue",""),IF(K25&lt;&gt;"Approved","Approval issue",""))</x:f>
        <x:v>Missing PO</x:v>
      </x:c>
    </x:row>
    <x:row r="26">
      <x:c r="A26" s="55" t="str">
        <x:v>AP-0025</x:v>
      </x:c>
      <x:c r="B26" s="56" t="str">
        <x:v>Vendor 9</x:v>
      </x:c>
      <x:c r="C26" s="56" t="str">
        <x:v>INV-38128</x:v>
      </x:c>
      <x:c r="D26" s="56" t="str"/>
      <x:c r="E26" s="76" t="n">
        <x:v>46162</x:v>
      </x:c>
      <x:c r="F26" s="76" t="n">
        <x:v>46177</x:v>
      </x:c>
      <x:c r="G26" s="80" t="n">
        <x:v>2327.44</x:v>
      </x:c>
      <x:c r="H26" s="80" t="n">
        <x:v>302.57</x:v>
      </x:c>
      <x:c r="I26" s="80" t="n">
        <x:f>G26+H26</x:f>
        <x:v>2630.01</x:v>
      </x:c>
      <x:c r="J26" s="56" t="str">
        <x:v>Paid</x:v>
      </x:c>
      <x:c r="K26" s="56" t="str">
        <x:v>Approved</x:v>
      </x:c>
      <x:c r="L26" s="56" t="str">
        <x:f>IF(COUNTIFS($B$2:$B$151,B26,$C$2:$C$151,C26,$I$2:$I$151,I26)&gt;1,"Duplicate Risk","OK")</x:f>
        <x:v>OK</x:v>
      </x:c>
      <x:c r="M26" s="56" t="str">
        <x:f>IF(D26="","Missing PO","Matched")</x:f>
        <x:v>Missing PO</x:v>
      </x:c>
      <x:c r="N26" s="56" t="str">
        <x:f>IF(ABS(H26-G26*0.13)&lt;=1,"OK","Review Tax")</x:f>
        <x:v>OK</x:v>
      </x:c>
      <x:c r="O26" s="122" t="n">
        <x:f>IF(J26="Paid",0,MAX(0,TODAY()-F26))</x:f>
        <x:v>0</x:v>
      </x:c>
      <x:c r="P26" s="56" t="str">
        <x:f>IF(OR(L26="Duplicate Risk",M26="Missing PO",N26="Review Tax",O26&gt;30,K26&lt;&gt;"Approved"),"High","Low")</x:f>
        <x:v>High</x:v>
      </x:c>
      <x:c r="Q26" s="57" t="str">
        <x:f>TEXTJOIN("; ",TRUE,IF(L26="Duplicate Risk","Duplicate risk",""),IF(M26="Missing PO","Missing PO",""),IF(N26="Review Tax","Tax variance",""),IF(O26&gt;0,"Overdue",""),IF(K26&lt;&gt;"Approved","Approval issue",""))</x:f>
        <x:v>Missing PO</x:v>
      </x:c>
    </x:row>
    <x:row r="27">
      <x:c r="A27" s="55" t="str">
        <x:v>AP-0026</x:v>
      </x:c>
      <x:c r="B27" s="56" t="str">
        <x:v>Vendor 15</x:v>
      </x:c>
      <x:c r="C27" s="56" t="str">
        <x:v>INV-26365</x:v>
      </x:c>
      <x:c r="D27" s="56" t="str"/>
      <x:c r="E27" s="76" t="n">
        <x:v>46178</x:v>
      </x:c>
      <x:c r="F27" s="76" t="n">
        <x:v>46193</x:v>
      </x:c>
      <x:c r="G27" s="80" t="n">
        <x:v>9290.62</x:v>
      </x:c>
      <x:c r="H27" s="80" t="n">
        <x:v>1207.78</x:v>
      </x:c>
      <x:c r="I27" s="80" t="n">
        <x:f>G27+H27</x:f>
        <x:v>10498.400000000001</x:v>
      </x:c>
      <x:c r="J27" s="56" t="str">
        <x:v>On Hold</x:v>
      </x:c>
      <x:c r="K27" s="56" t="str">
        <x:v>Approved</x:v>
      </x:c>
      <x:c r="L27" s="56" t="str">
        <x:f>IF(COUNTIFS($B$2:$B$151,B27,$C$2:$C$151,C27,$I$2:$I$151,I27)&gt;1,"Duplicate Risk","OK")</x:f>
        <x:v>OK</x:v>
      </x:c>
      <x:c r="M27" s="56" t="str">
        <x:f>IF(D27="","Missing PO","Matched")</x:f>
        <x:v>Missing PO</x:v>
      </x:c>
      <x:c r="N27" s="56" t="str">
        <x:f>IF(ABS(H27-G27*0.13)&lt;=1,"OK","Review Tax")</x:f>
        <x:v>OK</x:v>
      </x:c>
      <x:c r="O27" s="122" t="n">
        <x:f>IF(J27="Paid",0,MAX(0,TODAY()-F27))</x:f>
        <x:v>39</x:v>
      </x:c>
      <x:c r="P27" s="56" t="str">
        <x:f>IF(OR(L27="Duplicate Risk",M27="Missing PO",N27="Review Tax",O27&gt;30,K27&lt;&gt;"Approved"),"High","Low")</x:f>
        <x:v>High</x:v>
      </x:c>
      <x:c r="Q27" s="57" t="str">
        <x:f>TEXTJOIN("; ",TRUE,IF(L27="Duplicate Risk","Duplicate risk",""),IF(M27="Missing PO","Missing PO",""),IF(N27="Review Tax","Tax variance",""),IF(O27&gt;0,"Overdue",""),IF(K27&lt;&gt;"Approved","Approval issue",""))</x:f>
        <x:v>Missing PO; Overdue</x:v>
      </x:c>
    </x:row>
    <x:row r="28">
      <x:c r="A28" s="55" t="str">
        <x:v>AP-0027</x:v>
      </x:c>
      <x:c r="B28" s="56" t="str">
        <x:v>Vendor 6</x:v>
      </x:c>
      <x:c r="C28" s="56" t="str">
        <x:v>INV-25242</x:v>
      </x:c>
      <x:c r="D28" s="56" t="str"/>
      <x:c r="E28" s="76" t="n">
        <x:v>46186</x:v>
      </x:c>
      <x:c r="F28" s="76" t="n">
        <x:v>46216</x:v>
      </x:c>
      <x:c r="G28" s="80" t="n">
        <x:v>1572.58</x:v>
      </x:c>
      <x:c r="H28" s="80" t="n">
        <x:v>204.44</x:v>
      </x:c>
      <x:c r="I28" s="80" t="n">
        <x:f>G28+H28</x:f>
        <x:v>1777.02</x:v>
      </x:c>
      <x:c r="J28" s="56" t="str">
        <x:v>On Hold</x:v>
      </x:c>
      <x:c r="K28" s="56" t="str">
        <x:v>Rejected</x:v>
      </x:c>
      <x:c r="L28" s="56" t="str">
        <x:f>IF(COUNTIFS($B$2:$B$151,B28,$C$2:$C$151,C28,$I$2:$I$151,I28)&gt;1,"Duplicate Risk","OK")</x:f>
        <x:v>OK</x:v>
      </x:c>
      <x:c r="M28" s="56" t="str">
        <x:f>IF(D28="","Missing PO","Matched")</x:f>
        <x:v>Missing PO</x:v>
      </x:c>
      <x:c r="N28" s="56" t="str">
        <x:f>IF(ABS(H28-G28*0.13)&lt;=1,"OK","Review Tax")</x:f>
        <x:v>OK</x:v>
      </x:c>
      <x:c r="O28" s="122" t="n">
        <x:f>IF(J28="Paid",0,MAX(0,TODAY()-F28))</x:f>
        <x:v>16</x:v>
      </x:c>
      <x:c r="P28" s="56" t="str">
        <x:f>IF(OR(L28="Duplicate Risk",M28="Missing PO",N28="Review Tax",O28&gt;30,K28&lt;&gt;"Approved"),"High","Low")</x:f>
        <x:v>High</x:v>
      </x:c>
      <x:c r="Q28" s="57" t="str">
        <x:f>TEXTJOIN("; ",TRUE,IF(L28="Duplicate Risk","Duplicate risk",""),IF(M28="Missing PO","Missing PO",""),IF(N28="Review Tax","Tax variance",""),IF(O28&gt;0,"Overdue",""),IF(K28&lt;&gt;"Approved","Approval issue",""))</x:f>
        <x:v>Missing PO; Overdue; Approval issue</x:v>
      </x:c>
    </x:row>
    <x:row r="29">
      <x:c r="A29" s="55" t="str">
        <x:v>AP-0028</x:v>
      </x:c>
      <x:c r="B29" s="56" t="str">
        <x:v>Vendor 13</x:v>
      </x:c>
      <x:c r="C29" s="56" t="str">
        <x:v>INV-31705</x:v>
      </x:c>
      <x:c r="D29" s="56" t="str"/>
      <x:c r="E29" s="76" t="n">
        <x:v>46168</x:v>
      </x:c>
      <x:c r="F29" s="76" t="n">
        <x:v>46198</x:v>
      </x:c>
      <x:c r="G29" s="80" t="n">
        <x:v>1351.24</x:v>
      </x:c>
      <x:c r="H29" s="80" t="n">
        <x:v>175.66</x:v>
      </x:c>
      <x:c r="I29" s="80" t="n">
        <x:f>G29+H29</x:f>
        <x:v>1526.9</x:v>
      </x:c>
      <x:c r="J29" s="56" t="str">
        <x:v>On Hold</x:v>
      </x:c>
      <x:c r="K29" s="56" t="str">
        <x:v>Approved</x:v>
      </x:c>
      <x:c r="L29" s="56" t="str">
        <x:f>IF(COUNTIFS($B$2:$B$151,B29,$C$2:$C$151,C29,$I$2:$I$151,I29)&gt;1,"Duplicate Risk","OK")</x:f>
        <x:v>OK</x:v>
      </x:c>
      <x:c r="M29" s="56" t="str">
        <x:f>IF(D29="","Missing PO","Matched")</x:f>
        <x:v>Missing PO</x:v>
      </x:c>
      <x:c r="N29" s="56" t="str">
        <x:f>IF(ABS(H29-G29*0.13)&lt;=1,"OK","Review Tax")</x:f>
        <x:v>OK</x:v>
      </x:c>
      <x:c r="O29" s="122" t="n">
        <x:f>IF(J29="Paid",0,MAX(0,TODAY()-F29))</x:f>
        <x:v>34</x:v>
      </x:c>
      <x:c r="P29" s="56" t="str">
        <x:f>IF(OR(L29="Duplicate Risk",M29="Missing PO",N29="Review Tax",O29&gt;30,K29&lt;&gt;"Approved"),"High","Low")</x:f>
        <x:v>High</x:v>
      </x:c>
      <x:c r="Q29" s="57" t="str">
        <x:f>TEXTJOIN("; ",TRUE,IF(L29="Duplicate Risk","Duplicate risk",""),IF(M29="Missing PO","Missing PO",""),IF(N29="Review Tax","Tax variance",""),IF(O29&gt;0,"Overdue",""),IF(K29&lt;&gt;"Approved","Approval issue",""))</x:f>
        <x:v>Missing PO; Overdue</x:v>
      </x:c>
    </x:row>
    <x:row r="30">
      <x:c r="A30" s="55" t="str">
        <x:v>AP-0029</x:v>
      </x:c>
      <x:c r="B30" s="56" t="str">
        <x:v>Vendor 23</x:v>
      </x:c>
      <x:c r="C30" s="56" t="str">
        <x:v>INV-21818</x:v>
      </x:c>
      <x:c r="D30" s="56" t="str"/>
      <x:c r="E30" s="76" t="n">
        <x:v>46167</x:v>
      </x:c>
      <x:c r="F30" s="76" t="n">
        <x:v>46197</x:v>
      </x:c>
      <x:c r="G30" s="80" t="n">
        <x:v>9491.86</x:v>
      </x:c>
      <x:c r="H30" s="80" t="n">
        <x:v>1233.94</x:v>
      </x:c>
      <x:c r="I30" s="80" t="n">
        <x:f>G30+H30</x:f>
        <x:v>10725.800000000001</x:v>
      </x:c>
      <x:c r="J30" s="56" t="str">
        <x:v>Paid</x:v>
      </x:c>
      <x:c r="K30" s="56" t="str">
        <x:v>Approved</x:v>
      </x:c>
      <x:c r="L30" s="56" t="str">
        <x:f>IF(COUNTIFS($B$2:$B$151,B30,$C$2:$C$151,C30,$I$2:$I$151,I30)&gt;1,"Duplicate Risk","OK")</x:f>
        <x:v>OK</x:v>
      </x:c>
      <x:c r="M30" s="56" t="str">
        <x:f>IF(D30="","Missing PO","Matched")</x:f>
        <x:v>Missing PO</x:v>
      </x:c>
      <x:c r="N30" s="56" t="str">
        <x:f>IF(ABS(H30-G30*0.13)&lt;=1,"OK","Review Tax")</x:f>
        <x:v>OK</x:v>
      </x:c>
      <x:c r="O30" s="122" t="n">
        <x:f>IF(J30="Paid",0,MAX(0,TODAY()-F30))</x:f>
        <x:v>0</x:v>
      </x:c>
      <x:c r="P30" s="56" t="str">
        <x:f>IF(OR(L30="Duplicate Risk",M30="Missing PO",N30="Review Tax",O30&gt;30,K30&lt;&gt;"Approved"),"High","Low")</x:f>
        <x:v>High</x:v>
      </x:c>
      <x:c r="Q30" s="57" t="str">
        <x:f>TEXTJOIN("; ",TRUE,IF(L30="Duplicate Risk","Duplicate risk",""),IF(M30="Missing PO","Missing PO",""),IF(N30="Review Tax","Tax variance",""),IF(O30&gt;0,"Overdue",""),IF(K30&lt;&gt;"Approved","Approval issue",""))</x:f>
        <x:v>Missing PO</x:v>
      </x:c>
    </x:row>
    <x:row r="31">
      <x:c r="A31" s="55" t="str">
        <x:v>AP-0030</x:v>
      </x:c>
      <x:c r="B31" s="56" t="str">
        <x:v>Vendor 26</x:v>
      </x:c>
      <x:c r="C31" s="56" t="str">
        <x:v>INV-25284</x:v>
      </x:c>
      <x:c r="D31" s="56" t="str">
        <x:v>PO-1054</x:v>
      </x:c>
      <x:c r="E31" s="76" t="n">
        <x:v>46179</x:v>
      </x:c>
      <x:c r="F31" s="76" t="n">
        <x:v>46194</x:v>
      </x:c>
      <x:c r="G31" s="80" t="n">
        <x:v>4438.12</x:v>
      </x:c>
      <x:c r="H31" s="80" t="n">
        <x:v>576.96</x:v>
      </x:c>
      <x:c r="I31" s="80" t="n">
        <x:f>G31+H31</x:f>
        <x:v>5015.08</x:v>
      </x:c>
      <x:c r="J31" s="56" t="str">
        <x:v>Unpaid</x:v>
      </x:c>
      <x:c r="K31" s="56" t="str">
        <x:v>Rejected</x:v>
      </x:c>
      <x:c r="L31" s="56" t="str">
        <x:f>IF(COUNTIFS($B$2:$B$151,B31,$C$2:$C$151,C31,$I$2:$I$151,I31)&gt;1,"Duplicate Risk","OK")</x:f>
        <x:v>OK</x:v>
      </x:c>
      <x:c r="M31" s="56" t="str">
        <x:f>IF(D31="","Missing PO","Matched")</x:f>
        <x:v>Matched</x:v>
      </x:c>
      <x:c r="N31" s="56" t="str">
        <x:f>IF(ABS(H31-G31*0.13)&lt;=1,"OK","Review Tax")</x:f>
        <x:v>OK</x:v>
      </x:c>
      <x:c r="O31" s="122" t="n">
        <x:f>IF(J31="Paid",0,MAX(0,TODAY()-F31))</x:f>
        <x:v>38</x:v>
      </x:c>
      <x:c r="P31" s="56" t="str">
        <x:f>IF(OR(L31="Duplicate Risk",M31="Missing PO",N31="Review Tax",O31&gt;30,K31&lt;&gt;"Approved"),"High","Low")</x:f>
        <x:v>High</x:v>
      </x:c>
      <x:c r="Q31" s="57" t="str">
        <x:f>TEXTJOIN("; ",TRUE,IF(L31="Duplicate Risk","Duplicate risk",""),IF(M31="Missing PO","Missing PO",""),IF(N31="Review Tax","Tax variance",""),IF(O31&gt;0,"Overdue",""),IF(K31&lt;&gt;"Approved","Approval issue",""))</x:f>
        <x:v>Overdue; Approval issue</x:v>
      </x:c>
    </x:row>
    <x:row r="32">
      <x:c r="A32" s="55" t="str">
        <x:v>AP-0031</x:v>
      </x:c>
      <x:c r="B32" s="56" t="str">
        <x:v>Vendor 28</x:v>
      </x:c>
      <x:c r="C32" s="56" t="str">
        <x:v>INV-41375</x:v>
      </x:c>
      <x:c r="D32" s="56" t="str">
        <x:v>PO-1094</x:v>
      </x:c>
      <x:c r="E32" s="76" t="n">
        <x:v>46198</x:v>
      </x:c>
      <x:c r="F32" s="76" t="n">
        <x:v>46243</x:v>
      </x:c>
      <x:c r="G32" s="80" t="n">
        <x:v>9505.12</x:v>
      </x:c>
      <x:c r="H32" s="80" t="n">
        <x:v>1235.67</x:v>
      </x:c>
      <x:c r="I32" s="80" t="n">
        <x:f>G32+H32</x:f>
        <x:v>10740.79</x:v>
      </x:c>
      <x:c r="J32" s="56" t="str">
        <x:v>Paid</x:v>
      </x:c>
      <x:c r="K32" s="56" t="str">
        <x:v>Pending</x:v>
      </x:c>
      <x:c r="L32" s="56" t="str">
        <x:f>IF(COUNTIFS($B$2:$B$151,B32,$C$2:$C$151,C32,$I$2:$I$151,I32)&gt;1,"Duplicate Risk","OK")</x:f>
        <x:v>Duplicate Risk</x:v>
      </x:c>
      <x:c r="M32" s="56" t="str">
        <x:f>IF(D32="","Missing PO","Matched")</x:f>
        <x:v>Matched</x:v>
      </x:c>
      <x:c r="N32" s="56" t="str">
        <x:f>IF(ABS(H32-G32*0.13)&lt;=1,"OK","Review Tax")</x:f>
        <x:v>OK</x:v>
      </x:c>
      <x:c r="O32" s="122" t="n">
        <x:f>IF(J32="Paid",0,MAX(0,TODAY()-F32))</x:f>
        <x:v>0</x:v>
      </x:c>
      <x:c r="P32" s="56" t="str">
        <x:f>IF(OR(L32="Duplicate Risk",M32="Missing PO",N32="Review Tax",O32&gt;30,K32&lt;&gt;"Approved"),"High","Low")</x:f>
        <x:v>High</x:v>
      </x:c>
      <x:c r="Q32" s="57" t="str">
        <x:f>TEXTJOIN("; ",TRUE,IF(L32="Duplicate Risk","Duplicate risk",""),IF(M32="Missing PO","Missing PO",""),IF(N32="Review Tax","Tax variance",""),IF(O32&gt;0,"Overdue",""),IF(K32&lt;&gt;"Approved","Approval issue",""))</x:f>
        <x:v>Duplicate risk; Approval issue</x:v>
      </x:c>
    </x:row>
    <x:row r="33">
      <x:c r="A33" s="55" t="str">
        <x:v>AP-0032</x:v>
      </x:c>
      <x:c r="B33" s="56" t="str">
        <x:v>Vendor 4</x:v>
      </x:c>
      <x:c r="C33" s="56" t="str">
        <x:v>INV-47334</x:v>
      </x:c>
      <x:c r="D33" s="56" t="str"/>
      <x:c r="E33" s="76" t="n">
        <x:v>46151</x:v>
      </x:c>
      <x:c r="F33" s="76" t="n">
        <x:v>46196</x:v>
      </x:c>
      <x:c r="G33" s="80" t="n">
        <x:v>5344.77</x:v>
      </x:c>
      <x:c r="H33" s="80" t="n">
        <x:v>690.08</x:v>
      </x:c>
      <x:c r="I33" s="80" t="n">
        <x:f>G33+H33</x:f>
        <x:v>6034.85</x:v>
      </x:c>
      <x:c r="J33" s="56" t="str">
        <x:v>Unpaid</x:v>
      </x:c>
      <x:c r="K33" s="56" t="str">
        <x:v>Approved</x:v>
      </x:c>
      <x:c r="L33" s="56" t="str">
        <x:f>IF(COUNTIFS($B$2:$B$151,B33,$C$2:$C$151,C33,$I$2:$I$151,I33)&gt;1,"Duplicate Risk","OK")</x:f>
        <x:v>OK</x:v>
      </x:c>
      <x:c r="M33" s="56" t="str">
        <x:f>IF(D33="","Missing PO","Matched")</x:f>
        <x:v>Missing PO</x:v>
      </x:c>
      <x:c r="N33" s="56" t="str">
        <x:f>IF(ABS(H33-G33*0.13)&lt;=1,"OK","Review Tax")</x:f>
        <x:v>Review Tax</x:v>
      </x:c>
      <x:c r="O33" s="122" t="n">
        <x:f>IF(J33="Paid",0,MAX(0,TODAY()-F33))</x:f>
        <x:v>36</x:v>
      </x:c>
      <x:c r="P33" s="56" t="str">
        <x:f>IF(OR(L33="Duplicate Risk",M33="Missing PO",N33="Review Tax",O33&gt;30,K33&lt;&gt;"Approved"),"High","Low")</x:f>
        <x:v>High</x:v>
      </x:c>
      <x:c r="Q33" s="57" t="str">
        <x:f>TEXTJOIN("; ",TRUE,IF(L33="Duplicate Risk","Duplicate risk",""),IF(M33="Missing PO","Missing PO",""),IF(N33="Review Tax","Tax variance",""),IF(O33&gt;0,"Overdue",""),IF(K33&lt;&gt;"Approved","Approval issue",""))</x:f>
        <x:v>Missing PO; Tax variance; Overdue</x:v>
      </x:c>
    </x:row>
    <x:row r="34">
      <x:c r="A34" s="55" t="str">
        <x:v>AP-0033</x:v>
      </x:c>
      <x:c r="B34" s="56" t="str">
        <x:v>Vendor 13</x:v>
      </x:c>
      <x:c r="C34" s="56" t="str">
        <x:v>INV-37775</x:v>
      </x:c>
      <x:c r="D34" s="56" t="str">
        <x:v>PO-1069</x:v>
      </x:c>
      <x:c r="E34" s="76" t="n">
        <x:v>46165</x:v>
      </x:c>
      <x:c r="F34" s="76" t="n">
        <x:v>46195</x:v>
      </x:c>
      <x:c r="G34" s="80" t="n">
        <x:v>1003.32</x:v>
      </x:c>
      <x:c r="H34" s="80" t="n">
        <x:v>135.98</x:v>
      </x:c>
      <x:c r="I34" s="80" t="n">
        <x:f>G34+H34</x:f>
        <x:v>1139.3</x:v>
      </x:c>
      <x:c r="J34" s="56" t="str">
        <x:v>On Hold</x:v>
      </x:c>
      <x:c r="K34" s="56" t="str">
        <x:v>Approved</x:v>
      </x:c>
      <x:c r="L34" s="56" t="str">
        <x:f>IF(COUNTIFS($B$2:$B$151,B34,$C$2:$C$151,C34,$I$2:$I$151,I34)&gt;1,"Duplicate Risk","OK")</x:f>
        <x:v>OK</x:v>
      </x:c>
      <x:c r="M34" s="56" t="str">
        <x:f>IF(D34="","Missing PO","Matched")</x:f>
        <x:v>Matched</x:v>
      </x:c>
      <x:c r="N34" s="56" t="str">
        <x:f>IF(ABS(H34-G34*0.13)&lt;=1,"OK","Review Tax")</x:f>
        <x:v>Review Tax</x:v>
      </x:c>
      <x:c r="O34" s="122" t="n">
        <x:f>IF(J34="Paid",0,MAX(0,TODAY()-F34))</x:f>
        <x:v>37</x:v>
      </x:c>
      <x:c r="P34" s="56" t="str">
        <x:f>IF(OR(L34="Duplicate Risk",M34="Missing PO",N34="Review Tax",O34&gt;30,K34&lt;&gt;"Approved"),"High","Low")</x:f>
        <x:v>High</x:v>
      </x:c>
      <x:c r="Q34" s="57" t="str">
        <x:f>TEXTJOIN("; ",TRUE,IF(L34="Duplicate Risk","Duplicate risk",""),IF(M34="Missing PO","Missing PO",""),IF(N34="Review Tax","Tax variance",""),IF(O34&gt;0,"Overdue",""),IF(K34&lt;&gt;"Approved","Approval issue",""))</x:f>
        <x:v>Tax variance; Overdue</x:v>
      </x:c>
    </x:row>
    <x:row r="35">
      <x:c r="A35" s="55" t="str">
        <x:v>AP-0034</x:v>
      </x:c>
      <x:c r="B35" s="56" t="str">
        <x:v>Vendor 20</x:v>
      </x:c>
      <x:c r="C35" s="56" t="str">
        <x:v>INV-42930</x:v>
      </x:c>
      <x:c r="D35" s="56" t="str">
        <x:v>PO-1096</x:v>
      </x:c>
      <x:c r="E35" s="76" t="n">
        <x:v>46165</x:v>
      </x:c>
      <x:c r="F35" s="76" t="n">
        <x:v>46195</x:v>
      </x:c>
      <x:c r="G35" s="80" t="n">
        <x:v>11662.46</x:v>
      </x:c>
      <x:c r="H35" s="80" t="n">
        <x:v>1523.38</x:v>
      </x:c>
      <x:c r="I35" s="80" t="n">
        <x:f>G35+H35</x:f>
        <x:v>13185.84</x:v>
      </x:c>
      <x:c r="J35" s="56" t="str">
        <x:v>Paid</x:v>
      </x:c>
      <x:c r="K35" s="56" t="str">
        <x:v>Approved</x:v>
      </x:c>
      <x:c r="L35" s="56" t="str">
        <x:f>IF(COUNTIFS($B$2:$B$151,B35,$C$2:$C$151,C35,$I$2:$I$151,I35)&gt;1,"Duplicate Risk","OK")</x:f>
        <x:v>OK</x:v>
      </x:c>
      <x:c r="M35" s="56" t="str">
        <x:f>IF(D35="","Missing PO","Matched")</x:f>
        <x:v>Matched</x:v>
      </x:c>
      <x:c r="N35" s="56" t="str">
        <x:f>IF(ABS(H35-G35*0.13)&lt;=1,"OK","Review Tax")</x:f>
        <x:v>Review Tax</x:v>
      </x:c>
      <x:c r="O35" s="122" t="n">
        <x:f>IF(J35="Paid",0,MAX(0,TODAY()-F35))</x:f>
        <x:v>0</x:v>
      </x:c>
      <x:c r="P35" s="56" t="str">
        <x:f>IF(OR(L35="Duplicate Risk",M35="Missing PO",N35="Review Tax",O35&gt;30,K35&lt;&gt;"Approved"),"High","Low")</x:f>
        <x:v>High</x:v>
      </x:c>
      <x:c r="Q35" s="57" t="str">
        <x:f>TEXTJOIN("; ",TRUE,IF(L35="Duplicate Risk","Duplicate risk",""),IF(M35="Missing PO","Missing PO",""),IF(N35="Review Tax","Tax variance",""),IF(O35&gt;0,"Overdue",""),IF(K35&lt;&gt;"Approved","Approval issue",""))</x:f>
        <x:v>Tax variance</x:v>
      </x:c>
    </x:row>
    <x:row r="36">
      <x:c r="A36" s="55" t="str">
        <x:v>AP-0035</x:v>
      </x:c>
      <x:c r="B36" s="56" t="str">
        <x:v>Vendor 10</x:v>
      </x:c>
      <x:c r="C36" s="56" t="str">
        <x:v>INV-22261</x:v>
      </x:c>
      <x:c r="D36" s="56" t="str"/>
      <x:c r="E36" s="76" t="n">
        <x:v>46192</x:v>
      </x:c>
      <x:c r="F36" s="76" t="n">
        <x:v>46222</x:v>
      </x:c>
      <x:c r="G36" s="80" t="n">
        <x:v>1152.66</x:v>
      </x:c>
      <x:c r="H36" s="80" t="n">
        <x:v>149.85</x:v>
      </x:c>
      <x:c r="I36" s="80" t="n">
        <x:f>G36+H36</x:f>
        <x:v>1302.51</x:v>
      </x:c>
      <x:c r="J36" s="56" t="str">
        <x:v>On Hold</x:v>
      </x:c>
      <x:c r="K36" s="56" t="str">
        <x:v>Rejected</x:v>
      </x:c>
      <x:c r="L36" s="56" t="str">
        <x:f>IF(COUNTIFS($B$2:$B$151,B36,$C$2:$C$151,C36,$I$2:$I$151,I36)&gt;1,"Duplicate Risk","OK")</x:f>
        <x:v>OK</x:v>
      </x:c>
      <x:c r="M36" s="56" t="str">
        <x:f>IF(D36="","Missing PO","Matched")</x:f>
        <x:v>Missing PO</x:v>
      </x:c>
      <x:c r="N36" s="56" t="str">
        <x:f>IF(ABS(H36-G36*0.13)&lt;=1,"OK","Review Tax")</x:f>
        <x:v>OK</x:v>
      </x:c>
      <x:c r="O36" s="122" t="n">
        <x:f>IF(J36="Paid",0,MAX(0,TODAY()-F36))</x:f>
        <x:v>10</x:v>
      </x:c>
      <x:c r="P36" s="56" t="str">
        <x:f>IF(OR(L36="Duplicate Risk",M36="Missing PO",N36="Review Tax",O36&gt;30,K36&lt;&gt;"Approved"),"High","Low")</x:f>
        <x:v>High</x:v>
      </x:c>
      <x:c r="Q36" s="57" t="str">
        <x:f>TEXTJOIN("; ",TRUE,IF(L36="Duplicate Risk","Duplicate risk",""),IF(M36="Missing PO","Missing PO",""),IF(N36="Review Tax","Tax variance",""),IF(O36&gt;0,"Overdue",""),IF(K36&lt;&gt;"Approved","Approval issue",""))</x:f>
        <x:v>Missing PO; Overdue; Approval issue</x:v>
      </x:c>
    </x:row>
    <x:row r="37">
      <x:c r="A37" s="55" t="str">
        <x:v>AP-0036</x:v>
      </x:c>
      <x:c r="B37" s="56" t="str">
        <x:v>Vendor 22</x:v>
      </x:c>
      <x:c r="C37" s="56" t="str">
        <x:v>INV-35415</x:v>
      </x:c>
      <x:c r="D37" s="56" t="str"/>
      <x:c r="E37" s="76" t="n">
        <x:v>46176</x:v>
      </x:c>
      <x:c r="F37" s="76" t="n">
        <x:v>46221</x:v>
      </x:c>
      <x:c r="G37" s="80" t="n">
        <x:v>757.1</x:v>
      </x:c>
      <x:c r="H37" s="80" t="n">
        <x:v>98.42</x:v>
      </x:c>
      <x:c r="I37" s="80" t="n">
        <x:f>G37+H37</x:f>
        <x:v>855.52</x:v>
      </x:c>
      <x:c r="J37" s="56" t="str">
        <x:v>Paid</x:v>
      </x:c>
      <x:c r="K37" s="56" t="str">
        <x:v>Rejected</x:v>
      </x:c>
      <x:c r="L37" s="56" t="str">
        <x:f>IF(COUNTIFS($B$2:$B$151,B37,$C$2:$C$151,C37,$I$2:$I$151,I37)&gt;1,"Duplicate Risk","OK")</x:f>
        <x:v>OK</x:v>
      </x:c>
      <x:c r="M37" s="56" t="str">
        <x:f>IF(D37="","Missing PO","Matched")</x:f>
        <x:v>Missing PO</x:v>
      </x:c>
      <x:c r="N37" s="56" t="str">
        <x:f>IF(ABS(H37-G37*0.13)&lt;=1,"OK","Review Tax")</x:f>
        <x:v>OK</x:v>
      </x:c>
      <x:c r="O37" s="122" t="n">
        <x:f>IF(J37="Paid",0,MAX(0,TODAY()-F37))</x:f>
        <x:v>0</x:v>
      </x:c>
      <x:c r="P37" s="56" t="str">
        <x:f>IF(OR(L37="Duplicate Risk",M37="Missing PO",N37="Review Tax",O37&gt;30,K37&lt;&gt;"Approved"),"High","Low")</x:f>
        <x:v>High</x:v>
      </x:c>
      <x:c r="Q37" s="57" t="str">
        <x:f>TEXTJOIN("; ",TRUE,IF(L37="Duplicate Risk","Duplicate risk",""),IF(M37="Missing PO","Missing PO",""),IF(N37="Review Tax","Tax variance",""),IF(O37&gt;0,"Overdue",""),IF(K37&lt;&gt;"Approved","Approval issue",""))</x:f>
        <x:v>Missing PO; Approval issue</x:v>
      </x:c>
    </x:row>
    <x:row r="38">
      <x:c r="A38" s="55" t="str">
        <x:v>AP-0037</x:v>
      </x:c>
      <x:c r="B38" s="56" t="str">
        <x:v>Vendor 15</x:v>
      </x:c>
      <x:c r="C38" s="56" t="str">
        <x:v>INV-44053</x:v>
      </x:c>
      <x:c r="D38" s="56" t="str">
        <x:v>PO-1100</x:v>
      </x:c>
      <x:c r="E38" s="76" t="n">
        <x:v>46190</x:v>
      </x:c>
      <x:c r="F38" s="76" t="n">
        <x:v>46205</x:v>
      </x:c>
      <x:c r="G38" s="80" t="n">
        <x:v>6895.28</x:v>
      </x:c>
      <x:c r="H38" s="80" t="n">
        <x:v>893.3</x:v>
      </x:c>
      <x:c r="I38" s="80" t="n">
        <x:f>G38+H38</x:f>
        <x:v>7788.58</x:v>
      </x:c>
      <x:c r="J38" s="56" t="str">
        <x:v>Paid</x:v>
      </x:c>
      <x:c r="K38" s="56" t="str">
        <x:v>Pending</x:v>
      </x:c>
      <x:c r="L38" s="56" t="str">
        <x:f>IF(COUNTIFS($B$2:$B$151,B38,$C$2:$C$151,C38,$I$2:$I$151,I38)&gt;1,"Duplicate Risk","OK")</x:f>
        <x:v>Duplicate Risk</x:v>
      </x:c>
      <x:c r="M38" s="56" t="str">
        <x:f>IF(D38="","Missing PO","Matched")</x:f>
        <x:v>Matched</x:v>
      </x:c>
      <x:c r="N38" s="56" t="str">
        <x:f>IF(ABS(H38-G38*0.13)&lt;=1,"OK","Review Tax")</x:f>
        <x:v>Review Tax</x:v>
      </x:c>
      <x:c r="O38" s="122" t="n">
        <x:f>IF(J38="Paid",0,MAX(0,TODAY()-F38))</x:f>
        <x:v>0</x:v>
      </x:c>
      <x:c r="P38" s="56" t="str">
        <x:f>IF(OR(L38="Duplicate Risk",M38="Missing PO",N38="Review Tax",O38&gt;30,K38&lt;&gt;"Approved"),"High","Low")</x:f>
        <x:v>High</x:v>
      </x:c>
      <x:c r="Q38" s="57" t="str">
        <x:f>TEXTJOIN("; ",TRUE,IF(L38="Duplicate Risk","Duplicate risk",""),IF(M38="Missing PO","Missing PO",""),IF(N38="Review Tax","Tax variance",""),IF(O38&gt;0,"Overdue",""),IF(K38&lt;&gt;"Approved","Approval issue",""))</x:f>
        <x:v>Duplicate risk; Tax variance; Approval issue</x:v>
      </x:c>
    </x:row>
    <x:row r="39">
      <x:c r="A39" s="55" t="str">
        <x:v>AP-0038</x:v>
      </x:c>
      <x:c r="B39" s="56" t="str">
        <x:v>Vendor 21</x:v>
      </x:c>
      <x:c r="C39" s="56" t="str">
        <x:v>INV-32957</x:v>
      </x:c>
      <x:c r="D39" s="56" t="str"/>
      <x:c r="E39" s="76" t="n">
        <x:v>46167</x:v>
      </x:c>
      <x:c r="F39" s="76" t="n">
        <x:v>46182</x:v>
      </x:c>
      <x:c r="G39" s="80" t="n">
        <x:v>1514.53</x:v>
      </x:c>
      <x:c r="H39" s="80" t="n">
        <x:v>194.98</x:v>
      </x:c>
      <x:c r="I39" s="80" t="n">
        <x:f>G39+H39</x:f>
        <x:v>1709.51</x:v>
      </x:c>
      <x:c r="J39" s="56" t="str">
        <x:v>Paid</x:v>
      </x:c>
      <x:c r="K39" s="56" t="str">
        <x:v>Approved</x:v>
      </x:c>
      <x:c r="L39" s="56" t="str">
        <x:f>IF(COUNTIFS($B$2:$B$151,B39,$C$2:$C$151,C39,$I$2:$I$151,I39)&gt;1,"Duplicate Risk","OK")</x:f>
        <x:v>OK</x:v>
      </x:c>
      <x:c r="M39" s="56" t="str">
        <x:f>IF(D39="","Missing PO","Matched")</x:f>
        <x:v>Missing PO</x:v>
      </x:c>
      <x:c r="N39" s="56" t="str">
        <x:f>IF(ABS(H39-G39*0.13)&lt;=1,"OK","Review Tax")</x:f>
        <x:v>Review Tax</x:v>
      </x:c>
      <x:c r="O39" s="122" t="n">
        <x:f>IF(J39="Paid",0,MAX(0,TODAY()-F39))</x:f>
        <x:v>0</x:v>
      </x:c>
      <x:c r="P39" s="56" t="str">
        <x:f>IF(OR(L39="Duplicate Risk",M39="Missing PO",N39="Review Tax",O39&gt;30,K39&lt;&gt;"Approved"),"High","Low")</x:f>
        <x:v>High</x:v>
      </x:c>
      <x:c r="Q39" s="57" t="str">
        <x:f>TEXTJOIN("; ",TRUE,IF(L39="Duplicate Risk","Duplicate risk",""),IF(M39="Missing PO","Missing PO",""),IF(N39="Review Tax","Tax variance",""),IF(O39&gt;0,"Overdue",""),IF(K39&lt;&gt;"Approved","Approval issue",""))</x:f>
        <x:v>Missing PO; Tax variance</x:v>
      </x:c>
    </x:row>
    <x:row r="40">
      <x:c r="A40" s="55" t="str">
        <x:v>AP-0039</x:v>
      </x:c>
      <x:c r="B40" s="56" t="str">
        <x:v>Vendor 27</x:v>
      </x:c>
      <x:c r="C40" s="56" t="str">
        <x:v>INV-37253</x:v>
      </x:c>
      <x:c r="D40" s="56" t="str">
        <x:v>PO-1054</x:v>
      </x:c>
      <x:c r="E40" s="76" t="n">
        <x:v>46162</x:v>
      </x:c>
      <x:c r="F40" s="76" t="n">
        <x:v>46177</x:v>
      </x:c>
      <x:c r="G40" s="80" t="n">
        <x:v>10848.86</x:v>
      </x:c>
      <x:c r="H40" s="80" t="n">
        <x:v>1410.35</x:v>
      </x:c>
      <x:c r="I40" s="80" t="n">
        <x:f>G40+H40</x:f>
        <x:v>12259.210000000001</x:v>
      </x:c>
      <x:c r="J40" s="56" t="str">
        <x:v>On Hold</x:v>
      </x:c>
      <x:c r="K40" s="56" t="str">
        <x:v>Rejected</x:v>
      </x:c>
      <x:c r="L40" s="56" t="str">
        <x:f>IF(COUNTIFS($B$2:$B$151,B40,$C$2:$C$151,C40,$I$2:$I$151,I40)&gt;1,"Duplicate Risk","OK")</x:f>
        <x:v>OK</x:v>
      </x:c>
      <x:c r="M40" s="56" t="str">
        <x:f>IF(D40="","Missing PO","Matched")</x:f>
        <x:v>Matched</x:v>
      </x:c>
      <x:c r="N40" s="56" t="str">
        <x:f>IF(ABS(H40-G40*0.13)&lt;=1,"OK","Review Tax")</x:f>
        <x:v>OK</x:v>
      </x:c>
      <x:c r="O40" s="122" t="n">
        <x:f>IF(J40="Paid",0,MAX(0,TODAY()-F40))</x:f>
        <x:v>55</x:v>
      </x:c>
      <x:c r="P40" s="56" t="str">
        <x:f>IF(OR(L40="Duplicate Risk",M40="Missing PO",N40="Review Tax",O40&gt;30,K40&lt;&gt;"Approved"),"High","Low")</x:f>
        <x:v>High</x:v>
      </x:c>
      <x:c r="Q40" s="57" t="str">
        <x:f>TEXTJOIN("; ",TRUE,IF(L40="Duplicate Risk","Duplicate risk",""),IF(M40="Missing PO","Missing PO",""),IF(N40="Review Tax","Tax variance",""),IF(O40&gt;0,"Overdue",""),IF(K40&lt;&gt;"Approved","Approval issue",""))</x:f>
        <x:v>Overdue; Approval issue</x:v>
      </x:c>
    </x:row>
    <x:row r="41">
      <x:c r="A41" s="55" t="str">
        <x:v>AP-0040</x:v>
      </x:c>
      <x:c r="B41" s="56" t="str">
        <x:v>Vendor 23</x:v>
      </x:c>
      <x:c r="C41" s="56" t="str">
        <x:v>INV-25269</x:v>
      </x:c>
      <x:c r="D41" s="56" t="str">
        <x:v>PO-1055</x:v>
      </x:c>
      <x:c r="E41" s="76" t="n">
        <x:v>46190</x:v>
      </x:c>
      <x:c r="F41" s="76" t="n">
        <x:v>46205</x:v>
      </x:c>
      <x:c r="G41" s="80" t="n">
        <x:v>7713.57</x:v>
      </x:c>
      <x:c r="H41" s="80" t="n">
        <x:v>998.88</x:v>
      </x:c>
      <x:c r="I41" s="80" t="n">
        <x:f>G41+H41</x:f>
        <x:v>8712.449999999999</x:v>
      </x:c>
      <x:c r="J41" s="56" t="str">
        <x:v>Paid</x:v>
      </x:c>
      <x:c r="K41" s="56" t="str">
        <x:v>Approved</x:v>
      </x:c>
      <x:c r="L41" s="56" t="str">
        <x:f>IF(COUNTIFS($B$2:$B$151,B41,$C$2:$C$151,C41,$I$2:$I$151,I41)&gt;1,"Duplicate Risk","OK")</x:f>
        <x:v>Duplicate Risk</x:v>
      </x:c>
      <x:c r="M41" s="56" t="str">
        <x:f>IF(D41="","Missing PO","Matched")</x:f>
        <x:v>Matched</x:v>
      </x:c>
      <x:c r="N41" s="56" t="str">
        <x:f>IF(ABS(H41-G41*0.13)&lt;=1,"OK","Review Tax")</x:f>
        <x:v>Review Tax</x:v>
      </x:c>
      <x:c r="O41" s="122" t="n">
        <x:f>IF(J41="Paid",0,MAX(0,TODAY()-F41))</x:f>
        <x:v>0</x:v>
      </x:c>
      <x:c r="P41" s="56" t="str">
        <x:f>IF(OR(L41="Duplicate Risk",M41="Missing PO",N41="Review Tax",O41&gt;30,K41&lt;&gt;"Approved"),"High","Low")</x:f>
        <x:v>High</x:v>
      </x:c>
      <x:c r="Q41" s="57" t="str">
        <x:f>TEXTJOIN("; ",TRUE,IF(L41="Duplicate Risk","Duplicate risk",""),IF(M41="Missing PO","Missing PO",""),IF(N41="Review Tax","Tax variance",""),IF(O41&gt;0,"Overdue",""),IF(K41&lt;&gt;"Approved","Approval issue",""))</x:f>
        <x:v>Duplicate risk; Tax variance</x:v>
      </x:c>
    </x:row>
    <x:row r="42">
      <x:c r="A42" s="55" t="str">
        <x:v>AP-0041</x:v>
      </x:c>
      <x:c r="B42" s="56" t="str">
        <x:v>Vendor 21</x:v>
      </x:c>
      <x:c r="C42" s="56" t="str">
        <x:v>INV-21350</x:v>
      </x:c>
      <x:c r="D42" s="56" t="str"/>
      <x:c r="E42" s="76" t="n">
        <x:v>46191</x:v>
      </x:c>
      <x:c r="F42" s="76" t="n">
        <x:v>46221</x:v>
      </x:c>
      <x:c r="G42" s="80" t="n">
        <x:v>564.33</x:v>
      </x:c>
      <x:c r="H42" s="80" t="n">
        <x:v>73.36</x:v>
      </x:c>
      <x:c r="I42" s="80" t="n">
        <x:f>G42+H42</x:f>
        <x:v>637.69</x:v>
      </x:c>
      <x:c r="J42" s="56" t="str">
        <x:v>Unpaid</x:v>
      </x:c>
      <x:c r="K42" s="56" t="str">
        <x:v>Pending</x:v>
      </x:c>
      <x:c r="L42" s="56" t="str">
        <x:f>IF(COUNTIFS($B$2:$B$151,B42,$C$2:$C$151,C42,$I$2:$I$151,I42)&gt;1,"Duplicate Risk","OK")</x:f>
        <x:v>OK</x:v>
      </x:c>
      <x:c r="M42" s="56" t="str">
        <x:f>IF(D42="","Missing PO","Matched")</x:f>
        <x:v>Missing PO</x:v>
      </x:c>
      <x:c r="N42" s="56" t="str">
        <x:f>IF(ABS(H42-G42*0.13)&lt;=1,"OK","Review Tax")</x:f>
        <x:v>OK</x:v>
      </x:c>
      <x:c r="O42" s="122" t="n">
        <x:f>IF(J42="Paid",0,MAX(0,TODAY()-F42))</x:f>
        <x:v>11</x:v>
      </x:c>
      <x:c r="P42" s="56" t="str">
        <x:f>IF(OR(L42="Duplicate Risk",M42="Missing PO",N42="Review Tax",O42&gt;30,K42&lt;&gt;"Approved"),"High","Low")</x:f>
        <x:v>High</x:v>
      </x:c>
      <x:c r="Q42" s="57" t="str">
        <x:f>TEXTJOIN("; ",TRUE,IF(L42="Duplicate Risk","Duplicate risk",""),IF(M42="Missing PO","Missing PO",""),IF(N42="Review Tax","Tax variance",""),IF(O42&gt;0,"Overdue",""),IF(K42&lt;&gt;"Approved","Approval issue",""))</x:f>
        <x:v>Missing PO; Overdue; Approval issue</x:v>
      </x:c>
    </x:row>
    <x:row r="43">
      <x:c r="A43" s="55" t="str">
        <x:v>AP-0042</x:v>
      </x:c>
      <x:c r="B43" s="56" t="str">
        <x:v>Vendor 15</x:v>
      </x:c>
      <x:c r="C43" s="56" t="str">
        <x:v>INV-46101</x:v>
      </x:c>
      <x:c r="D43" s="56" t="str"/>
      <x:c r="E43" s="76" t="n">
        <x:v>46161</x:v>
      </x:c>
      <x:c r="F43" s="76" t="n">
        <x:v>46206</x:v>
      </x:c>
      <x:c r="G43" s="80" t="n">
        <x:v>610.89</x:v>
      </x:c>
      <x:c r="H43" s="80" t="n">
        <x:v>79.42</x:v>
      </x:c>
      <x:c r="I43" s="80" t="n">
        <x:f>G43+H43</x:f>
        <x:v>690.31</x:v>
      </x:c>
      <x:c r="J43" s="56" t="str">
        <x:v>Unpaid</x:v>
      </x:c>
      <x:c r="K43" s="56" t="str">
        <x:v>Rejected</x:v>
      </x:c>
      <x:c r="L43" s="56" t="str">
        <x:f>IF(COUNTIFS($B$2:$B$151,B43,$C$2:$C$151,C43,$I$2:$I$151,I43)&gt;1,"Duplicate Risk","OK")</x:f>
        <x:v>OK</x:v>
      </x:c>
      <x:c r="M43" s="56" t="str">
        <x:f>IF(D43="","Missing PO","Matched")</x:f>
        <x:v>Missing PO</x:v>
      </x:c>
      <x:c r="N43" s="56" t="str">
        <x:f>IF(ABS(H43-G43*0.13)&lt;=1,"OK","Review Tax")</x:f>
        <x:v>OK</x:v>
      </x:c>
      <x:c r="O43" s="122" t="n">
        <x:f>IF(J43="Paid",0,MAX(0,TODAY()-F43))</x:f>
        <x:v>26</x:v>
      </x:c>
      <x:c r="P43" s="56" t="str">
        <x:f>IF(OR(L43="Duplicate Risk",M43="Missing PO",N43="Review Tax",O43&gt;30,K43&lt;&gt;"Approved"),"High","Low")</x:f>
        <x:v>High</x:v>
      </x:c>
      <x:c r="Q43" s="57" t="str">
        <x:f>TEXTJOIN("; ",TRUE,IF(L43="Duplicate Risk","Duplicate risk",""),IF(M43="Missing PO","Missing PO",""),IF(N43="Review Tax","Tax variance",""),IF(O43&gt;0,"Overdue",""),IF(K43&lt;&gt;"Approved","Approval issue",""))</x:f>
        <x:v>Missing PO; Overdue; Approval issue</x:v>
      </x:c>
    </x:row>
    <x:row r="44">
      <x:c r="A44" s="55" t="str">
        <x:v>AP-0043</x:v>
      </x:c>
      <x:c r="B44" s="56" t="str">
        <x:v>Vendor 18</x:v>
      </x:c>
      <x:c r="C44" s="56" t="str">
        <x:v>INV-23691</x:v>
      </x:c>
      <x:c r="D44" s="56" t="str">
        <x:v>PO-1079</x:v>
      </x:c>
      <x:c r="E44" s="76" t="n">
        <x:v>46170</x:v>
      </x:c>
      <x:c r="F44" s="76" t="n">
        <x:v>46200</x:v>
      </x:c>
      <x:c r="G44" s="80" t="n">
        <x:v>952.02</x:v>
      </x:c>
      <x:c r="H44" s="80" t="n">
        <x:v>123.76</x:v>
      </x:c>
      <x:c r="I44" s="80" t="n">
        <x:f>G44+H44</x:f>
        <x:v>1075.78</x:v>
      </x:c>
      <x:c r="J44" s="56" t="str">
        <x:v>Paid</x:v>
      </x:c>
      <x:c r="K44" s="56" t="str">
        <x:v>Pending</x:v>
      </x:c>
      <x:c r="L44" s="56" t="str">
        <x:f>IF(COUNTIFS($B$2:$B$151,B44,$C$2:$C$151,C44,$I$2:$I$151,I44)&gt;1,"Duplicate Risk","OK")</x:f>
        <x:v>OK</x:v>
      </x:c>
      <x:c r="M44" s="56" t="str">
        <x:f>IF(D44="","Missing PO","Matched")</x:f>
        <x:v>Matched</x:v>
      </x:c>
      <x:c r="N44" s="56" t="str">
        <x:f>IF(ABS(H44-G44*0.13)&lt;=1,"OK","Review Tax")</x:f>
        <x:v>OK</x:v>
      </x:c>
      <x:c r="O44" s="122" t="n">
        <x:f>IF(J44="Paid",0,MAX(0,TODAY()-F44))</x:f>
        <x:v>0</x:v>
      </x:c>
      <x:c r="P44" s="56" t="str">
        <x:f>IF(OR(L44="Duplicate Risk",M44="Missing PO",N44="Review Tax",O44&gt;30,K44&lt;&gt;"Approved"),"High","Low")</x:f>
        <x:v>High</x:v>
      </x:c>
      <x:c r="Q44" s="57" t="str">
        <x:f>TEXTJOIN("; ",TRUE,IF(L44="Duplicate Risk","Duplicate risk",""),IF(M44="Missing PO","Missing PO",""),IF(N44="Review Tax","Tax variance",""),IF(O44&gt;0,"Overdue",""),IF(K44&lt;&gt;"Approved","Approval issue",""))</x:f>
        <x:v>Approval issue</x:v>
      </x:c>
    </x:row>
    <x:row r="45">
      <x:c r="A45" s="55" t="str">
        <x:v>AP-0044</x:v>
      </x:c>
      <x:c r="B45" s="56" t="str">
        <x:v>Vendor 3</x:v>
      </x:c>
      <x:c r="C45" s="56" t="str">
        <x:v>INV-38734</x:v>
      </x:c>
      <x:c r="D45" s="56" t="str"/>
      <x:c r="E45" s="76" t="n">
        <x:v>46177</x:v>
      </x:c>
      <x:c r="F45" s="76" t="n">
        <x:v>46192</x:v>
      </x:c>
      <x:c r="G45" s="80" t="n">
        <x:v>5887.94</x:v>
      </x:c>
      <x:c r="H45" s="80" t="n">
        <x:v>765.43</x:v>
      </x:c>
      <x:c r="I45" s="80" t="n">
        <x:f>G45+H45</x:f>
        <x:v>6653.37</x:v>
      </x:c>
      <x:c r="J45" s="56" t="str">
        <x:v>Paid</x:v>
      </x:c>
      <x:c r="K45" s="56" t="str">
        <x:v>Approved</x:v>
      </x:c>
      <x:c r="L45" s="56" t="str">
        <x:f>IF(COUNTIFS($B$2:$B$151,B45,$C$2:$C$151,C45,$I$2:$I$151,I45)&gt;1,"Duplicate Risk","OK")</x:f>
        <x:v>OK</x:v>
      </x:c>
      <x:c r="M45" s="56" t="str">
        <x:f>IF(D45="","Missing PO","Matched")</x:f>
        <x:v>Missing PO</x:v>
      </x:c>
      <x:c r="N45" s="56" t="str">
        <x:f>IF(ABS(H45-G45*0.13)&lt;=1,"OK","Review Tax")</x:f>
        <x:v>OK</x:v>
      </x:c>
      <x:c r="O45" s="122" t="n">
        <x:f>IF(J45="Paid",0,MAX(0,TODAY()-F45))</x:f>
        <x:v>0</x:v>
      </x:c>
      <x:c r="P45" s="56" t="str">
        <x:f>IF(OR(L45="Duplicate Risk",M45="Missing PO",N45="Review Tax",O45&gt;30,K45&lt;&gt;"Approved"),"High","Low")</x:f>
        <x:v>High</x:v>
      </x:c>
      <x:c r="Q45" s="57" t="str">
        <x:f>TEXTJOIN("; ",TRUE,IF(L45="Duplicate Risk","Duplicate risk",""),IF(M45="Missing PO","Missing PO",""),IF(N45="Review Tax","Tax variance",""),IF(O45&gt;0,"Overdue",""),IF(K45&lt;&gt;"Approved","Approval issue",""))</x:f>
        <x:v>Missing PO</x:v>
      </x:c>
    </x:row>
    <x:row r="46">
      <x:c r="A46" s="55" t="str">
        <x:v>AP-0045</x:v>
      </x:c>
      <x:c r="B46" s="56" t="str">
        <x:v>Vendor 17</x:v>
      </x:c>
      <x:c r="C46" s="56" t="str">
        <x:v>INV-39444</x:v>
      </x:c>
      <x:c r="D46" s="56" t="str"/>
      <x:c r="E46" s="76" t="n">
        <x:v>46186</x:v>
      </x:c>
      <x:c r="F46" s="76" t="n">
        <x:v>46216</x:v>
      </x:c>
      <x:c r="G46" s="80" t="n">
        <x:v>5905.91</x:v>
      </x:c>
      <x:c r="H46" s="80" t="n">
        <x:v>771.62</x:v>
      </x:c>
      <x:c r="I46" s="80" t="n">
        <x:f>G46+H46</x:f>
        <x:v>6677.53</x:v>
      </x:c>
      <x:c r="J46" s="56" t="str">
        <x:v>Paid</x:v>
      </x:c>
      <x:c r="K46" s="56" t="str">
        <x:v>Rejected</x:v>
      </x:c>
      <x:c r="L46" s="56" t="str">
        <x:f>IF(COUNTIFS($B$2:$B$151,B46,$C$2:$C$151,C46,$I$2:$I$151,I46)&gt;1,"Duplicate Risk","OK")</x:f>
        <x:v>OK</x:v>
      </x:c>
      <x:c r="M46" s="56" t="str">
        <x:f>IF(D46="","Missing PO","Matched")</x:f>
        <x:v>Missing PO</x:v>
      </x:c>
      <x:c r="N46" s="56" t="str">
        <x:f>IF(ABS(H46-G46*0.13)&lt;=1,"OK","Review Tax")</x:f>
        <x:v>Review Tax</x:v>
      </x:c>
      <x:c r="O46" s="122" t="n">
        <x:f>IF(J46="Paid",0,MAX(0,TODAY()-F46))</x:f>
        <x:v>0</x:v>
      </x:c>
      <x:c r="P46" s="56" t="str">
        <x:f>IF(OR(L46="Duplicate Risk",M46="Missing PO",N46="Review Tax",O46&gt;30,K46&lt;&gt;"Approved"),"High","Low")</x:f>
        <x:v>High</x:v>
      </x:c>
      <x:c r="Q46" s="57" t="str">
        <x:f>TEXTJOIN("; ",TRUE,IF(L46="Duplicate Risk","Duplicate risk",""),IF(M46="Missing PO","Missing PO",""),IF(N46="Review Tax","Tax variance",""),IF(O46&gt;0,"Overdue",""),IF(K46&lt;&gt;"Approved","Approval issue",""))</x:f>
        <x:v>Missing PO; Tax variance; Approval issue</x:v>
      </x:c>
    </x:row>
    <x:row r="47">
      <x:c r="A47" s="55" t="str">
        <x:v>AP-0046</x:v>
      </x:c>
      <x:c r="B47" s="56" t="str">
        <x:v>Vendor 5</x:v>
      </x:c>
      <x:c r="C47" s="56" t="str">
        <x:v>INV-46977</x:v>
      </x:c>
      <x:c r="D47" s="56" t="str">
        <x:v>PO-1057</x:v>
      </x:c>
      <x:c r="E47" s="76" t="n">
        <x:v>46155</x:v>
      </x:c>
      <x:c r="F47" s="76" t="n">
        <x:v>46170</x:v>
      </x:c>
      <x:c r="G47" s="80" t="n">
        <x:v>10584.03</x:v>
      </x:c>
      <x:c r="H47" s="80" t="n">
        <x:v>1375.92</x:v>
      </x:c>
      <x:c r="I47" s="80" t="n">
        <x:f>G47+H47</x:f>
        <x:v>11959.95</x:v>
      </x:c>
      <x:c r="J47" s="56" t="str">
        <x:v>On Hold</x:v>
      </x:c>
      <x:c r="K47" s="56" t="str">
        <x:v>Pending</x:v>
      </x:c>
      <x:c r="L47" s="56" t="str">
        <x:f>IF(COUNTIFS($B$2:$B$151,B47,$C$2:$C$151,C47,$I$2:$I$151,I47)&gt;1,"Duplicate Risk","OK")</x:f>
        <x:v>OK</x:v>
      </x:c>
      <x:c r="M47" s="56" t="str">
        <x:f>IF(D47="","Missing PO","Matched")</x:f>
        <x:v>Matched</x:v>
      </x:c>
      <x:c r="N47" s="56" t="str">
        <x:f>IF(ABS(H47-G47*0.13)&lt;=1,"OK","Review Tax")</x:f>
        <x:v>OK</x:v>
      </x:c>
      <x:c r="O47" s="122" t="n">
        <x:f>IF(J47="Paid",0,MAX(0,TODAY()-F47))</x:f>
        <x:v>62</x:v>
      </x:c>
      <x:c r="P47" s="56" t="str">
        <x:f>IF(OR(L47="Duplicate Risk",M47="Missing PO",N47="Review Tax",O47&gt;30,K47&lt;&gt;"Approved"),"High","Low")</x:f>
        <x:v>High</x:v>
      </x:c>
      <x:c r="Q47" s="57" t="str">
        <x:f>TEXTJOIN("; ",TRUE,IF(L47="Duplicate Risk","Duplicate risk",""),IF(M47="Missing PO","Missing PO",""),IF(N47="Review Tax","Tax variance",""),IF(O47&gt;0,"Overdue",""),IF(K47&lt;&gt;"Approved","Approval issue",""))</x:f>
        <x:v>Overdue; Approval issue</x:v>
      </x:c>
    </x:row>
    <x:row r="48">
      <x:c r="A48" s="55" t="str">
        <x:v>AP-0047</x:v>
      </x:c>
      <x:c r="B48" s="56" t="str">
        <x:v>Vendor 9</x:v>
      </x:c>
      <x:c r="C48" s="56" t="str">
        <x:v>INV-29630</x:v>
      </x:c>
      <x:c r="D48" s="56" t="str">
        <x:v>PO-1031</x:v>
      </x:c>
      <x:c r="E48" s="76" t="n">
        <x:v>46185</x:v>
      </x:c>
      <x:c r="F48" s="76" t="n">
        <x:v>46215</x:v>
      </x:c>
      <x:c r="G48" s="80" t="n">
        <x:v>6282.54</x:v>
      </x:c>
      <x:c r="H48" s="80" t="n">
        <x:v>824.11</x:v>
      </x:c>
      <x:c r="I48" s="80" t="n">
        <x:f>G48+H48</x:f>
        <x:v>7106.65</x:v>
      </x:c>
      <x:c r="J48" s="56" t="str">
        <x:v>Paid</x:v>
      </x:c>
      <x:c r="K48" s="56" t="str">
        <x:v>Rejected</x:v>
      </x:c>
      <x:c r="L48" s="56" t="str">
        <x:f>IF(COUNTIFS($B$2:$B$151,B48,$C$2:$C$151,C48,$I$2:$I$151,I48)&gt;1,"Duplicate Risk","OK")</x:f>
        <x:v>OK</x:v>
      </x:c>
      <x:c r="M48" s="56" t="str">
        <x:f>IF(D48="","Missing PO","Matched")</x:f>
        <x:v>Matched</x:v>
      </x:c>
      <x:c r="N48" s="56" t="str">
        <x:f>IF(ABS(H48-G48*0.13)&lt;=1,"OK","Review Tax")</x:f>
        <x:v>Review Tax</x:v>
      </x:c>
      <x:c r="O48" s="122" t="n">
        <x:f>IF(J48="Paid",0,MAX(0,TODAY()-F48))</x:f>
        <x:v>0</x:v>
      </x:c>
      <x:c r="P48" s="56" t="str">
        <x:f>IF(OR(L48="Duplicate Risk",M48="Missing PO",N48="Review Tax",O48&gt;30,K48&lt;&gt;"Approved"),"High","Low")</x:f>
        <x:v>High</x:v>
      </x:c>
      <x:c r="Q48" s="57" t="str">
        <x:f>TEXTJOIN("; ",TRUE,IF(L48="Duplicate Risk","Duplicate risk",""),IF(M48="Missing PO","Missing PO",""),IF(N48="Review Tax","Tax variance",""),IF(O48&gt;0,"Overdue",""),IF(K48&lt;&gt;"Approved","Approval issue",""))</x:f>
        <x:v>Tax variance; Approval issue</x:v>
      </x:c>
    </x:row>
    <x:row r="49">
      <x:c r="A49" s="55" t="str">
        <x:v>AP-0048</x:v>
      </x:c>
      <x:c r="B49" s="56" t="str">
        <x:v>Vendor 27</x:v>
      </x:c>
      <x:c r="C49" s="56" t="str">
        <x:v>INV-46521</x:v>
      </x:c>
      <x:c r="D49" s="56" t="str"/>
      <x:c r="E49" s="76" t="n">
        <x:v>46164</x:v>
      </x:c>
      <x:c r="F49" s="76" t="n">
        <x:v>46194</x:v>
      </x:c>
      <x:c r="G49" s="80" t="n">
        <x:v>11377.58</x:v>
      </x:c>
      <x:c r="H49" s="80" t="n">
        <x:v>1486.86</x:v>
      </x:c>
      <x:c r="I49" s="80" t="n">
        <x:f>G49+H49</x:f>
        <x:v>12864.44</x:v>
      </x:c>
      <x:c r="J49" s="56" t="str">
        <x:v>Paid</x:v>
      </x:c>
      <x:c r="K49" s="56" t="str">
        <x:v>Approved</x:v>
      </x:c>
      <x:c r="L49" s="56" t="str">
        <x:f>IF(COUNTIFS($B$2:$B$151,B49,$C$2:$C$151,C49,$I$2:$I$151,I49)&gt;1,"Duplicate Risk","OK")</x:f>
        <x:v>OK</x:v>
      </x:c>
      <x:c r="M49" s="56" t="str">
        <x:f>IF(D49="","Missing PO","Matched")</x:f>
        <x:v>Missing PO</x:v>
      </x:c>
      <x:c r="N49" s="56" t="str">
        <x:f>IF(ABS(H49-G49*0.13)&lt;=1,"OK","Review Tax")</x:f>
        <x:v>Review Tax</x:v>
      </x:c>
      <x:c r="O49" s="122" t="n">
        <x:f>IF(J49="Paid",0,MAX(0,TODAY()-F49))</x:f>
        <x:v>0</x:v>
      </x:c>
      <x:c r="P49" s="56" t="str">
        <x:f>IF(OR(L49="Duplicate Risk",M49="Missing PO",N49="Review Tax",O49&gt;30,K49&lt;&gt;"Approved"),"High","Low")</x:f>
        <x:v>High</x:v>
      </x:c>
      <x:c r="Q49" s="57" t="str">
        <x:f>TEXTJOIN("; ",TRUE,IF(L49="Duplicate Risk","Duplicate risk",""),IF(M49="Missing PO","Missing PO",""),IF(N49="Review Tax","Tax variance",""),IF(O49&gt;0,"Overdue",""),IF(K49&lt;&gt;"Approved","Approval issue",""))</x:f>
        <x:v>Missing PO; Tax variance</x:v>
      </x:c>
    </x:row>
    <x:row r="50">
      <x:c r="A50" s="55" t="str">
        <x:v>AP-0049</x:v>
      </x:c>
      <x:c r="B50" s="56" t="str">
        <x:v>Vendor 9</x:v>
      </x:c>
      <x:c r="C50" s="56" t="str">
        <x:v>INV-30253</x:v>
      </x:c>
      <x:c r="D50" s="56" t="str">
        <x:v>PO-1054</x:v>
      </x:c>
      <x:c r="E50" s="76" t="n">
        <x:v>46176</x:v>
      </x:c>
      <x:c r="F50" s="76" t="n">
        <x:v>46206</x:v>
      </x:c>
      <x:c r="G50" s="80" t="n">
        <x:v>8595.81</x:v>
      </x:c>
      <x:c r="H50" s="80" t="n">
        <x:v>1117.46</x:v>
      </x:c>
      <x:c r="I50" s="80" t="n">
        <x:f>G50+H50</x:f>
        <x:v>9713.27</x:v>
      </x:c>
      <x:c r="J50" s="56" t="str">
        <x:v>Unpaid</x:v>
      </x:c>
      <x:c r="K50" s="56" t="str">
        <x:v>Rejected</x:v>
      </x:c>
      <x:c r="L50" s="56" t="str">
        <x:f>IF(COUNTIFS($B$2:$B$151,B50,$C$2:$C$151,C50,$I$2:$I$151,I50)&gt;1,"Duplicate Risk","OK")</x:f>
        <x:v>Duplicate Risk</x:v>
      </x:c>
      <x:c r="M50" s="56" t="str">
        <x:f>IF(D50="","Missing PO","Matched")</x:f>
        <x:v>Matched</x:v>
      </x:c>
      <x:c r="N50" s="56" t="str">
        <x:f>IF(ABS(H50-G50*0.13)&lt;=1,"OK","Review Tax")</x:f>
        <x:v>OK</x:v>
      </x:c>
      <x:c r="O50" s="122" t="n">
        <x:f>IF(J50="Paid",0,MAX(0,TODAY()-F50))</x:f>
        <x:v>26</x:v>
      </x:c>
      <x:c r="P50" s="56" t="str">
        <x:f>IF(OR(L50="Duplicate Risk",M50="Missing PO",N50="Review Tax",O50&gt;30,K50&lt;&gt;"Approved"),"High","Low")</x:f>
        <x:v>High</x:v>
      </x:c>
      <x:c r="Q50" s="57" t="str">
        <x:f>TEXTJOIN("; ",TRUE,IF(L50="Duplicate Risk","Duplicate risk",""),IF(M50="Missing PO","Missing PO",""),IF(N50="Review Tax","Tax variance",""),IF(O50&gt;0,"Overdue",""),IF(K50&lt;&gt;"Approved","Approval issue",""))</x:f>
        <x:v>Duplicate risk; Overdue; Approval issue</x:v>
      </x:c>
    </x:row>
    <x:row r="51">
      <x:c r="A51" s="55" t="str">
        <x:v>AP-0050</x:v>
      </x:c>
      <x:c r="B51" s="56" t="str">
        <x:v>Vendor 6</x:v>
      </x:c>
      <x:c r="C51" s="56" t="str">
        <x:v>INV-36744</x:v>
      </x:c>
      <x:c r="D51" s="56" t="str">
        <x:v>PO-1034</x:v>
      </x:c>
      <x:c r="E51" s="76" t="n">
        <x:v>46152</x:v>
      </x:c>
      <x:c r="F51" s="76" t="n">
        <x:v>46197</x:v>
      </x:c>
      <x:c r="G51" s="80" t="n">
        <x:v>3439.57</x:v>
      </x:c>
      <x:c r="H51" s="80" t="n">
        <x:v>450.24</x:v>
      </x:c>
      <x:c r="I51" s="80" t="n">
        <x:f>G51+H51</x:f>
        <x:v>3889.8100000000004</x:v>
      </x:c>
      <x:c r="J51" s="56" t="str">
        <x:v>Paid</x:v>
      </x:c>
      <x:c r="K51" s="56" t="str">
        <x:v>Approved</x:v>
      </x:c>
      <x:c r="L51" s="56" t="str">
        <x:f>IF(COUNTIFS($B$2:$B$151,B51,$C$2:$C$151,C51,$I$2:$I$151,I51)&gt;1,"Duplicate Risk","OK")</x:f>
        <x:v>Duplicate Risk</x:v>
      </x:c>
      <x:c r="M51" s="56" t="str">
        <x:f>IF(D51="","Missing PO","Matched")</x:f>
        <x:v>Matched</x:v>
      </x:c>
      <x:c r="N51" s="56" t="str">
        <x:f>IF(ABS(H51-G51*0.13)&lt;=1,"OK","Review Tax")</x:f>
        <x:v>Review Tax</x:v>
      </x:c>
      <x:c r="O51" s="122" t="n">
        <x:f>IF(J51="Paid",0,MAX(0,TODAY()-F51))</x:f>
        <x:v>0</x:v>
      </x:c>
      <x:c r="P51" s="56" t="str">
        <x:f>IF(OR(L51="Duplicate Risk",M51="Missing PO",N51="Review Tax",O51&gt;30,K51&lt;&gt;"Approved"),"High","Low")</x:f>
        <x:v>High</x:v>
      </x:c>
      <x:c r="Q51" s="57" t="str">
        <x:f>TEXTJOIN("; ",TRUE,IF(L51="Duplicate Risk","Duplicate risk",""),IF(M51="Missing PO","Missing PO",""),IF(N51="Review Tax","Tax variance",""),IF(O51&gt;0,"Overdue",""),IF(K51&lt;&gt;"Approved","Approval issue",""))</x:f>
        <x:v>Duplicate risk; Tax variance</x:v>
      </x:c>
    </x:row>
    <x:row r="52">
      <x:c r="A52" s="55" t="str">
        <x:v>AP-0051</x:v>
      </x:c>
      <x:c r="B52" s="56" t="str">
        <x:v>Vendor 27</x:v>
      </x:c>
      <x:c r="C52" s="56" t="str">
        <x:v>INV-46642</x:v>
      </x:c>
      <x:c r="D52" s="56" t="str">
        <x:v>PO-1045</x:v>
      </x:c>
      <x:c r="E52" s="76" t="n">
        <x:v>46190</x:v>
      </x:c>
      <x:c r="F52" s="76" t="n">
        <x:v>46220</x:v>
      </x:c>
      <x:c r="G52" s="80" t="n">
        <x:v>5548.1</x:v>
      </x:c>
      <x:c r="H52" s="80" t="n">
        <x:v>725.29</x:v>
      </x:c>
      <x:c r="I52" s="80" t="n">
        <x:f>G52+H52</x:f>
        <x:v>6273.39</x:v>
      </x:c>
      <x:c r="J52" s="56" t="str">
        <x:v>On Hold</x:v>
      </x:c>
      <x:c r="K52" s="56" t="str">
        <x:v>Pending</x:v>
      </x:c>
      <x:c r="L52" s="56" t="str">
        <x:f>IF(COUNTIFS($B$2:$B$151,B52,$C$2:$C$151,C52,$I$2:$I$151,I52)&gt;1,"Duplicate Risk","OK")</x:f>
        <x:v>OK</x:v>
      </x:c>
      <x:c r="M52" s="56" t="str">
        <x:f>IF(D52="","Missing PO","Matched")</x:f>
        <x:v>Matched</x:v>
      </x:c>
      <x:c r="N52" s="56" t="str">
        <x:f>IF(ABS(H52-G52*0.13)&lt;=1,"OK","Review Tax")</x:f>
        <x:v>Review Tax</x:v>
      </x:c>
      <x:c r="O52" s="122" t="n">
        <x:f>IF(J52="Paid",0,MAX(0,TODAY()-F52))</x:f>
        <x:v>12</x:v>
      </x:c>
      <x:c r="P52" s="56" t="str">
        <x:f>IF(OR(L52="Duplicate Risk",M52="Missing PO",N52="Review Tax",O52&gt;30,K52&lt;&gt;"Approved"),"High","Low")</x:f>
        <x:v>High</x:v>
      </x:c>
      <x:c r="Q52" s="57" t="str">
        <x:f>TEXTJOIN("; ",TRUE,IF(L52="Duplicate Risk","Duplicate risk",""),IF(M52="Missing PO","Missing PO",""),IF(N52="Review Tax","Tax variance",""),IF(O52&gt;0,"Overdue",""),IF(K52&lt;&gt;"Approved","Approval issue",""))</x:f>
        <x:v>Tax variance; Overdue; Approval issue</x:v>
      </x:c>
    </x:row>
    <x:row r="53">
      <x:c r="A53" s="55" t="str">
        <x:v>AP-0052</x:v>
      </x:c>
      <x:c r="B53" s="56" t="str">
        <x:v>Vendor 4</x:v>
      </x:c>
      <x:c r="C53" s="56" t="str">
        <x:v>INV-32976</x:v>
      </x:c>
      <x:c r="D53" s="56" t="str"/>
      <x:c r="E53" s="76" t="n">
        <x:v>46196</x:v>
      </x:c>
      <x:c r="F53" s="76" t="n">
        <x:v>46226</x:v>
      </x:c>
      <x:c r="G53" s="80" t="n">
        <x:v>1265.96</x:v>
      </x:c>
      <x:c r="H53" s="80" t="n">
        <x:v>164.57</x:v>
      </x:c>
      <x:c r="I53" s="80" t="n">
        <x:f>G53+H53</x:f>
        <x:v>1430.53</x:v>
      </x:c>
      <x:c r="J53" s="56" t="str">
        <x:v>Unpaid</x:v>
      </x:c>
      <x:c r="K53" s="56" t="str">
        <x:v>Rejected</x:v>
      </x:c>
      <x:c r="L53" s="56" t="str">
        <x:f>IF(COUNTIFS($B$2:$B$151,B53,$C$2:$C$151,C53,$I$2:$I$151,I53)&gt;1,"Duplicate Risk","OK")</x:f>
        <x:v>OK</x:v>
      </x:c>
      <x:c r="M53" s="56" t="str">
        <x:f>IF(D53="","Missing PO","Matched")</x:f>
        <x:v>Missing PO</x:v>
      </x:c>
      <x:c r="N53" s="56" t="str">
        <x:f>IF(ABS(H53-G53*0.13)&lt;=1,"OK","Review Tax")</x:f>
        <x:v>OK</x:v>
      </x:c>
      <x:c r="O53" s="122" t="n">
        <x:f>IF(J53="Paid",0,MAX(0,TODAY()-F53))</x:f>
        <x:v>6</x:v>
      </x:c>
      <x:c r="P53" s="56" t="str">
        <x:f>IF(OR(L53="Duplicate Risk",M53="Missing PO",N53="Review Tax",O53&gt;30,K53&lt;&gt;"Approved"),"High","Low")</x:f>
        <x:v>High</x:v>
      </x:c>
      <x:c r="Q53" s="57" t="str">
        <x:f>TEXTJOIN("; ",TRUE,IF(L53="Duplicate Risk","Duplicate risk",""),IF(M53="Missing PO","Missing PO",""),IF(N53="Review Tax","Tax variance",""),IF(O53&gt;0,"Overdue",""),IF(K53&lt;&gt;"Approved","Approval issue",""))</x:f>
        <x:v>Missing PO; Overdue; Approval issue</x:v>
      </x:c>
    </x:row>
    <x:row r="54">
      <x:c r="A54" s="55" t="str">
        <x:v>AP-0053</x:v>
      </x:c>
      <x:c r="B54" s="56" t="str">
        <x:v>Vendor 29</x:v>
      </x:c>
      <x:c r="C54" s="56" t="str">
        <x:v>INV-37668</x:v>
      </x:c>
      <x:c r="D54" s="56" t="str">
        <x:v>PO-1057</x:v>
      </x:c>
      <x:c r="E54" s="76" t="n">
        <x:v>46149</x:v>
      </x:c>
      <x:c r="F54" s="76" t="n">
        <x:v>46164</x:v>
      </x:c>
      <x:c r="G54" s="80" t="n">
        <x:v>3347.81</x:v>
      </x:c>
      <x:c r="H54" s="80" t="n">
        <x:v>435.22</x:v>
      </x:c>
      <x:c r="I54" s="80" t="n">
        <x:f>G54+H54</x:f>
        <x:v>3783.0299999999997</x:v>
      </x:c>
      <x:c r="J54" s="56" t="str">
        <x:v>On Hold</x:v>
      </x:c>
      <x:c r="K54" s="56" t="str">
        <x:v>Approved</x:v>
      </x:c>
      <x:c r="L54" s="56" t="str">
        <x:f>IF(COUNTIFS($B$2:$B$151,B54,$C$2:$C$151,C54,$I$2:$I$151,I54)&gt;1,"Duplicate Risk","OK")</x:f>
        <x:v>OK</x:v>
      </x:c>
      <x:c r="M54" s="56" t="str">
        <x:f>IF(D54="","Missing PO","Matched")</x:f>
        <x:v>Matched</x:v>
      </x:c>
      <x:c r="N54" s="56" t="str">
        <x:f>IF(ABS(H54-G54*0.13)&lt;=1,"OK","Review Tax")</x:f>
        <x:v>OK</x:v>
      </x:c>
      <x:c r="O54" s="122" t="n">
        <x:f>IF(J54="Paid",0,MAX(0,TODAY()-F54))</x:f>
        <x:v>68</x:v>
      </x:c>
      <x:c r="P54" s="56" t="str">
        <x:f>IF(OR(L54="Duplicate Risk",M54="Missing PO",N54="Review Tax",O54&gt;30,K54&lt;&gt;"Approved"),"High","Low")</x:f>
        <x:v>High</x:v>
      </x:c>
      <x:c r="Q54" s="57" t="str">
        <x:f>TEXTJOIN("; ",TRUE,IF(L54="Duplicate Risk","Duplicate risk",""),IF(M54="Missing PO","Missing PO",""),IF(N54="Review Tax","Tax variance",""),IF(O54&gt;0,"Overdue",""),IF(K54&lt;&gt;"Approved","Approval issue",""))</x:f>
        <x:v>Overdue</x:v>
      </x:c>
    </x:row>
    <x:row r="55">
      <x:c r="A55" s="55" t="str">
        <x:v>AP-0054</x:v>
      </x:c>
      <x:c r="B55" s="56" t="str">
        <x:v>Vendor 20</x:v>
      </x:c>
      <x:c r="C55" s="56" t="str">
        <x:v>INV-37521</x:v>
      </x:c>
      <x:c r="D55" s="56" t="str"/>
      <x:c r="E55" s="76" t="n">
        <x:v>46191</x:v>
      </x:c>
      <x:c r="F55" s="76" t="n">
        <x:v>46221</x:v>
      </x:c>
      <x:c r="G55" s="80" t="n">
        <x:v>10225.49</x:v>
      </x:c>
      <x:c r="H55" s="80" t="n">
        <x:v>1329.31</x:v>
      </x:c>
      <x:c r="I55" s="80" t="n">
        <x:f>G55+H55</x:f>
        <x:v>11554.8</x:v>
      </x:c>
      <x:c r="J55" s="56" t="str">
        <x:v>Unpaid</x:v>
      </x:c>
      <x:c r="K55" s="56" t="str">
        <x:v>Rejected</x:v>
      </x:c>
      <x:c r="L55" s="56" t="str">
        <x:f>IF(COUNTIFS($B$2:$B$151,B55,$C$2:$C$151,C55,$I$2:$I$151,I55)&gt;1,"Duplicate Risk","OK")</x:f>
        <x:v>OK</x:v>
      </x:c>
      <x:c r="M55" s="56" t="str">
        <x:f>IF(D55="","Missing PO","Matched")</x:f>
        <x:v>Missing PO</x:v>
      </x:c>
      <x:c r="N55" s="56" t="str">
        <x:f>IF(ABS(H55-G55*0.13)&lt;=1,"OK","Review Tax")</x:f>
        <x:v>OK</x:v>
      </x:c>
      <x:c r="O55" s="122" t="n">
        <x:f>IF(J55="Paid",0,MAX(0,TODAY()-F55))</x:f>
        <x:v>11</x:v>
      </x:c>
      <x:c r="P55" s="56" t="str">
        <x:f>IF(OR(L55="Duplicate Risk",M55="Missing PO",N55="Review Tax",O55&gt;30,K55&lt;&gt;"Approved"),"High","Low")</x:f>
        <x:v>High</x:v>
      </x:c>
      <x:c r="Q55" s="57" t="str">
        <x:f>TEXTJOIN("; ",TRUE,IF(L55="Duplicate Risk","Duplicate risk",""),IF(M55="Missing PO","Missing PO",""),IF(N55="Review Tax","Tax variance",""),IF(O55&gt;0,"Overdue",""),IF(K55&lt;&gt;"Approved","Approval issue",""))</x:f>
        <x:v>Missing PO; Overdue; Approval issue</x:v>
      </x:c>
    </x:row>
    <x:row r="56">
      <x:c r="A56" s="55" t="str">
        <x:v>AP-0055</x:v>
      </x:c>
      <x:c r="B56" s="56" t="str">
        <x:v>Vendor 11</x:v>
      </x:c>
      <x:c r="C56" s="56" t="str">
        <x:v>INV-38067</x:v>
      </x:c>
      <x:c r="D56" s="56" t="str"/>
      <x:c r="E56" s="76" t="n">
        <x:v>46172</x:v>
      </x:c>
      <x:c r="F56" s="76" t="n">
        <x:v>46187</x:v>
      </x:c>
      <x:c r="G56" s="80" t="n">
        <x:v>8030.46</x:v>
      </x:c>
      <x:c r="H56" s="80" t="n">
        <x:v>1043.96</x:v>
      </x:c>
      <x:c r="I56" s="80" t="n">
        <x:f>G56+H56</x:f>
        <x:v>9074.42</x:v>
      </x:c>
      <x:c r="J56" s="56" t="str">
        <x:v>Paid</x:v>
      </x:c>
      <x:c r="K56" s="56" t="str">
        <x:v>Rejected</x:v>
      </x:c>
      <x:c r="L56" s="56" t="str">
        <x:f>IF(COUNTIFS($B$2:$B$151,B56,$C$2:$C$151,C56,$I$2:$I$151,I56)&gt;1,"Duplicate Risk","OK")</x:f>
        <x:v>OK</x:v>
      </x:c>
      <x:c r="M56" s="56" t="str">
        <x:f>IF(D56="","Missing PO","Matched")</x:f>
        <x:v>Missing PO</x:v>
      </x:c>
      <x:c r="N56" s="56" t="str">
        <x:f>IF(ABS(H56-G56*0.13)&lt;=1,"OK","Review Tax")</x:f>
        <x:v>OK</x:v>
      </x:c>
      <x:c r="O56" s="122" t="n">
        <x:f>IF(J56="Paid",0,MAX(0,TODAY()-F56))</x:f>
        <x:v>0</x:v>
      </x:c>
      <x:c r="P56" s="56" t="str">
        <x:f>IF(OR(L56="Duplicate Risk",M56="Missing PO",N56="Review Tax",O56&gt;30,K56&lt;&gt;"Approved"),"High","Low")</x:f>
        <x:v>High</x:v>
      </x:c>
      <x:c r="Q56" s="57" t="str">
        <x:f>TEXTJOIN("; ",TRUE,IF(L56="Duplicate Risk","Duplicate risk",""),IF(M56="Missing PO","Missing PO",""),IF(N56="Review Tax","Tax variance",""),IF(O56&gt;0,"Overdue",""),IF(K56&lt;&gt;"Approved","Approval issue",""))</x:f>
        <x:v>Missing PO; Approval issue</x:v>
      </x:c>
    </x:row>
    <x:row r="57">
      <x:c r="A57" s="55" t="str">
        <x:v>AP-0056</x:v>
      </x:c>
      <x:c r="B57" s="56" t="str">
        <x:v>Vendor 16</x:v>
      </x:c>
      <x:c r="C57" s="56" t="str">
        <x:v>INV-41585</x:v>
      </x:c>
      <x:c r="D57" s="56" t="str"/>
      <x:c r="E57" s="76" t="n">
        <x:v>46181</x:v>
      </x:c>
      <x:c r="F57" s="76" t="n">
        <x:v>46196</x:v>
      </x:c>
      <x:c r="G57" s="80" t="n">
        <x:v>5195.65</x:v>
      </x:c>
      <x:c r="H57" s="80" t="n">
        <x:v>675.43</x:v>
      </x:c>
      <x:c r="I57" s="80" t="n">
        <x:f>G57+H57</x:f>
        <x:v>5871.08</x:v>
      </x:c>
      <x:c r="J57" s="56" t="str">
        <x:v>Paid</x:v>
      </x:c>
      <x:c r="K57" s="56" t="str">
        <x:v>Pending</x:v>
      </x:c>
      <x:c r="L57" s="56" t="str">
        <x:f>IF(COUNTIFS($B$2:$B$151,B57,$C$2:$C$151,C57,$I$2:$I$151,I57)&gt;1,"Duplicate Risk","OK")</x:f>
        <x:v>OK</x:v>
      </x:c>
      <x:c r="M57" s="56" t="str">
        <x:f>IF(D57="","Missing PO","Matched")</x:f>
        <x:v>Missing PO</x:v>
      </x:c>
      <x:c r="N57" s="56" t="str">
        <x:f>IF(ABS(H57-G57*0.13)&lt;=1,"OK","Review Tax")</x:f>
        <x:v>OK</x:v>
      </x:c>
      <x:c r="O57" s="122" t="n">
        <x:f>IF(J57="Paid",0,MAX(0,TODAY()-F57))</x:f>
        <x:v>0</x:v>
      </x:c>
      <x:c r="P57" s="56" t="str">
        <x:f>IF(OR(L57="Duplicate Risk",M57="Missing PO",N57="Review Tax",O57&gt;30,K57&lt;&gt;"Approved"),"High","Low")</x:f>
        <x:v>High</x:v>
      </x:c>
      <x:c r="Q57" s="57" t="str">
        <x:f>TEXTJOIN("; ",TRUE,IF(L57="Duplicate Risk","Duplicate risk",""),IF(M57="Missing PO","Missing PO",""),IF(N57="Review Tax","Tax variance",""),IF(O57&gt;0,"Overdue",""),IF(K57&lt;&gt;"Approved","Approval issue",""))</x:f>
        <x:v>Missing PO; Approval issue</x:v>
      </x:c>
    </x:row>
    <x:row r="58">
      <x:c r="A58" s="55" t="str">
        <x:v>AP-0057</x:v>
      </x:c>
      <x:c r="B58" s="56" t="str">
        <x:v>Vendor 29</x:v>
      </x:c>
      <x:c r="C58" s="56" t="str">
        <x:v>INV-35278</x:v>
      </x:c>
      <x:c r="D58" s="56" t="str">
        <x:v>PO-1093</x:v>
      </x:c>
      <x:c r="E58" s="76" t="n">
        <x:v>46186</x:v>
      </x:c>
      <x:c r="F58" s="76" t="n">
        <x:v>46216</x:v>
      </x:c>
      <x:c r="G58" s="80" t="n">
        <x:v>773.69</x:v>
      </x:c>
      <x:c r="H58" s="80" t="n">
        <x:v>100.58</x:v>
      </x:c>
      <x:c r="I58" s="80" t="n">
        <x:f>G58+H58</x:f>
        <x:v>874.2700000000001</x:v>
      </x:c>
      <x:c r="J58" s="56" t="str">
        <x:v>On Hold</x:v>
      </x:c>
      <x:c r="K58" s="56" t="str">
        <x:v>Approved</x:v>
      </x:c>
      <x:c r="L58" s="56" t="str">
        <x:f>IF(COUNTIFS($B$2:$B$151,B58,$C$2:$C$151,C58,$I$2:$I$151,I58)&gt;1,"Duplicate Risk","OK")</x:f>
        <x:v>OK</x:v>
      </x:c>
      <x:c r="M58" s="56" t="str">
        <x:f>IF(D58="","Missing PO","Matched")</x:f>
        <x:v>Matched</x:v>
      </x:c>
      <x:c r="N58" s="56" t="str">
        <x:f>IF(ABS(H58-G58*0.13)&lt;=1,"OK","Review Tax")</x:f>
        <x:v>OK</x:v>
      </x:c>
      <x:c r="O58" s="122" t="n">
        <x:f>IF(J58="Paid",0,MAX(0,TODAY()-F58))</x:f>
        <x:v>16</x:v>
      </x:c>
      <x:c r="P58" s="56" t="str">
        <x:f>IF(OR(L58="Duplicate Risk",M58="Missing PO",N58="Review Tax",O58&gt;30,K58&lt;&gt;"Approved"),"High","Low")</x:f>
        <x:v>Low</x:v>
      </x:c>
      <x:c r="Q58" s="57" t="str">
        <x:f>TEXTJOIN("; ",TRUE,IF(L58="Duplicate Risk","Duplicate risk",""),IF(M58="Missing PO","Missing PO",""),IF(N58="Review Tax","Tax variance",""),IF(O58&gt;0,"Overdue",""),IF(K58&lt;&gt;"Approved","Approval issue",""))</x:f>
        <x:v>Overdue</x:v>
      </x:c>
    </x:row>
    <x:row r="59">
      <x:c r="A59" s="55" t="str">
        <x:v>AP-0058</x:v>
      </x:c>
      <x:c r="B59" s="56" t="str">
        <x:v>Vendor 9</x:v>
      </x:c>
      <x:c r="C59" s="56" t="str">
        <x:v>INV-30170</x:v>
      </x:c>
      <x:c r="D59" s="56" t="str">
        <x:v>PO-1034</x:v>
      </x:c>
      <x:c r="E59" s="76" t="n">
        <x:v>46161</x:v>
      </x:c>
      <x:c r="F59" s="76" t="n">
        <x:v>46191</x:v>
      </x:c>
      <x:c r="G59" s="80" t="n">
        <x:v>1009.1</x:v>
      </x:c>
      <x:c r="H59" s="80" t="n">
        <x:v>131.18</x:v>
      </x:c>
      <x:c r="I59" s="80" t="n">
        <x:f>G59+H59</x:f>
        <x:v>1140.28</x:v>
      </x:c>
      <x:c r="J59" s="56" t="str">
        <x:v>Paid</x:v>
      </x:c>
      <x:c r="K59" s="56" t="str">
        <x:v>Pending</x:v>
      </x:c>
      <x:c r="L59" s="56" t="str">
        <x:f>IF(COUNTIFS($B$2:$B$151,B59,$C$2:$C$151,C59,$I$2:$I$151,I59)&gt;1,"Duplicate Risk","OK")</x:f>
        <x:v>OK</x:v>
      </x:c>
      <x:c r="M59" s="56" t="str">
        <x:f>IF(D59="","Missing PO","Matched")</x:f>
        <x:v>Matched</x:v>
      </x:c>
      <x:c r="N59" s="56" t="str">
        <x:f>IF(ABS(H59-G59*0.13)&lt;=1,"OK","Review Tax")</x:f>
        <x:v>OK</x:v>
      </x:c>
      <x:c r="O59" s="122" t="n">
        <x:f>IF(J59="Paid",0,MAX(0,TODAY()-F59))</x:f>
        <x:v>0</x:v>
      </x:c>
      <x:c r="P59" s="56" t="str">
        <x:f>IF(OR(L59="Duplicate Risk",M59="Missing PO",N59="Review Tax",O59&gt;30,K59&lt;&gt;"Approved"),"High","Low")</x:f>
        <x:v>High</x:v>
      </x:c>
      <x:c r="Q59" s="57" t="str">
        <x:f>TEXTJOIN("; ",TRUE,IF(L59="Duplicate Risk","Duplicate risk",""),IF(M59="Missing PO","Missing PO",""),IF(N59="Review Tax","Tax variance",""),IF(O59&gt;0,"Overdue",""),IF(K59&lt;&gt;"Approved","Approval issue",""))</x:f>
        <x:v>Approval issue</x:v>
      </x:c>
    </x:row>
    <x:row r="60">
      <x:c r="A60" s="55" t="str">
        <x:v>AP-0059</x:v>
      </x:c>
      <x:c r="B60" s="56" t="str">
        <x:v>Vendor 27</x:v>
      </x:c>
      <x:c r="C60" s="56" t="str">
        <x:v>INV-43880</x:v>
      </x:c>
      <x:c r="D60" s="56" t="str"/>
      <x:c r="E60" s="76" t="n">
        <x:v>46173</x:v>
      </x:c>
      <x:c r="F60" s="76" t="n">
        <x:v>46218</x:v>
      </x:c>
      <x:c r="G60" s="80" t="n">
        <x:v>9905.84</x:v>
      </x:c>
      <x:c r="H60" s="80" t="n">
        <x:v>1280.62</x:v>
      </x:c>
      <x:c r="I60" s="80" t="n">
        <x:f>G60+H60</x:f>
        <x:v>11186.46</x:v>
      </x:c>
      <x:c r="J60" s="56" t="str">
        <x:v>On Hold</x:v>
      </x:c>
      <x:c r="K60" s="56" t="str">
        <x:v>Approved</x:v>
      </x:c>
      <x:c r="L60" s="56" t="str">
        <x:f>IF(COUNTIFS($B$2:$B$151,B60,$C$2:$C$151,C60,$I$2:$I$151,I60)&gt;1,"Duplicate Risk","OK")</x:f>
        <x:v>OK</x:v>
      </x:c>
      <x:c r="M60" s="56" t="str">
        <x:f>IF(D60="","Missing PO","Matched")</x:f>
        <x:v>Missing PO</x:v>
      </x:c>
      <x:c r="N60" s="56" t="str">
        <x:f>IF(ABS(H60-G60*0.13)&lt;=1,"OK","Review Tax")</x:f>
        <x:v>Review Tax</x:v>
      </x:c>
      <x:c r="O60" s="122" t="n">
        <x:f>IF(J60="Paid",0,MAX(0,TODAY()-F60))</x:f>
        <x:v>14</x:v>
      </x:c>
      <x:c r="P60" s="56" t="str">
        <x:f>IF(OR(L60="Duplicate Risk",M60="Missing PO",N60="Review Tax",O60&gt;30,K60&lt;&gt;"Approved"),"High","Low")</x:f>
        <x:v>High</x:v>
      </x:c>
      <x:c r="Q60" s="57" t="str">
        <x:f>TEXTJOIN("; ",TRUE,IF(L60="Duplicate Risk","Duplicate risk",""),IF(M60="Missing PO","Missing PO",""),IF(N60="Review Tax","Tax variance",""),IF(O60&gt;0,"Overdue",""),IF(K60&lt;&gt;"Approved","Approval issue",""))</x:f>
        <x:v>Missing PO; Tax variance; Overdue</x:v>
      </x:c>
    </x:row>
    <x:row r="61">
      <x:c r="A61" s="55" t="str">
        <x:v>AP-0060</x:v>
      </x:c>
      <x:c r="B61" s="56" t="str">
        <x:v>Vendor 23</x:v>
      </x:c>
      <x:c r="C61" s="56" t="str">
        <x:v>INV-25269</x:v>
      </x:c>
      <x:c r="D61" s="56" t="str"/>
      <x:c r="E61" s="76" t="n">
        <x:v>46165</x:v>
      </x:c>
      <x:c r="F61" s="76" t="n">
        <x:v>46210</x:v>
      </x:c>
      <x:c r="G61" s="80" t="n">
        <x:v>7713.57</x:v>
      </x:c>
      <x:c r="H61" s="80" t="n">
        <x:v>998.88</x:v>
      </x:c>
      <x:c r="I61" s="80" t="n">
        <x:f>G61+H61</x:f>
        <x:v>8712.449999999999</x:v>
      </x:c>
      <x:c r="J61" s="56" t="str">
        <x:v>On Hold</x:v>
      </x:c>
      <x:c r="K61" s="56" t="str">
        <x:v>Pending</x:v>
      </x:c>
      <x:c r="L61" s="56" t="str">
        <x:f>IF(COUNTIFS($B$2:$B$151,B61,$C$2:$C$151,C61,$I$2:$I$151,I61)&gt;1,"Duplicate Risk","OK")</x:f>
        <x:v>Duplicate Risk</x:v>
      </x:c>
      <x:c r="M61" s="56" t="str">
        <x:f>IF(D61="","Missing PO","Matched")</x:f>
        <x:v>Missing PO</x:v>
      </x:c>
      <x:c r="N61" s="56" t="str">
        <x:f>IF(ABS(H61-G61*0.13)&lt;=1,"OK","Review Tax")</x:f>
        <x:v>Review Tax</x:v>
      </x:c>
      <x:c r="O61" s="122" t="n">
        <x:f>IF(J61="Paid",0,MAX(0,TODAY()-F61))</x:f>
        <x:v>22</x:v>
      </x:c>
      <x:c r="P61" s="56" t="str">
        <x:f>IF(OR(L61="Duplicate Risk",M61="Missing PO",N61="Review Tax",O61&gt;30,K61&lt;&gt;"Approved"),"High","Low")</x:f>
        <x:v>High</x:v>
      </x:c>
      <x:c r="Q61" s="57" t="str">
        <x:f>TEXTJOIN("; ",TRUE,IF(L61="Duplicate Risk","Duplicate risk",""),IF(M61="Missing PO","Missing PO",""),IF(N61="Review Tax","Tax variance",""),IF(O61&gt;0,"Overdue",""),IF(K61&lt;&gt;"Approved","Approval issue",""))</x:f>
        <x:v>Duplicate risk; Missing PO; Tax variance; Overdue; Approval issue</x:v>
      </x:c>
    </x:row>
    <x:row r="62">
      <x:c r="A62" s="55" t="str">
        <x:v>AP-0061</x:v>
      </x:c>
      <x:c r="B62" s="56" t="str">
        <x:v>Vendor 8</x:v>
      </x:c>
      <x:c r="C62" s="56" t="str">
        <x:v>INV-26861</x:v>
      </x:c>
      <x:c r="D62" s="56" t="str">
        <x:v>PO-1100</x:v>
      </x:c>
      <x:c r="E62" s="76" t="n">
        <x:v>46186</x:v>
      </x:c>
      <x:c r="F62" s="76" t="n">
        <x:v>46216</x:v>
      </x:c>
      <x:c r="G62" s="80" t="n">
        <x:v>8461.81</x:v>
      </x:c>
      <x:c r="H62" s="80" t="n">
        <x:v>1100.04</x:v>
      </x:c>
      <x:c r="I62" s="80" t="n">
        <x:f>G62+H62</x:f>
        <x:v>9561.849999999999</x:v>
      </x:c>
      <x:c r="J62" s="56" t="str">
        <x:v>Paid</x:v>
      </x:c>
      <x:c r="K62" s="56" t="str">
        <x:v>Pending</x:v>
      </x:c>
      <x:c r="L62" s="56" t="str">
        <x:f>IF(COUNTIFS($B$2:$B$151,B62,$C$2:$C$151,C62,$I$2:$I$151,I62)&gt;1,"Duplicate Risk","OK")</x:f>
        <x:v>OK</x:v>
      </x:c>
      <x:c r="M62" s="56" t="str">
        <x:f>IF(D62="","Missing PO","Matched")</x:f>
        <x:v>Matched</x:v>
      </x:c>
      <x:c r="N62" s="56" t="str">
        <x:f>IF(ABS(H62-G62*0.13)&lt;=1,"OK","Review Tax")</x:f>
        <x:v>OK</x:v>
      </x:c>
      <x:c r="O62" s="122" t="n">
        <x:f>IF(J62="Paid",0,MAX(0,TODAY()-F62))</x:f>
        <x:v>0</x:v>
      </x:c>
      <x:c r="P62" s="56" t="str">
        <x:f>IF(OR(L62="Duplicate Risk",M62="Missing PO",N62="Review Tax",O62&gt;30,K62&lt;&gt;"Approved"),"High","Low")</x:f>
        <x:v>High</x:v>
      </x:c>
      <x:c r="Q62" s="57" t="str">
        <x:f>TEXTJOIN("; ",TRUE,IF(L62="Duplicate Risk","Duplicate risk",""),IF(M62="Missing PO","Missing PO",""),IF(N62="Review Tax","Tax variance",""),IF(O62&gt;0,"Overdue",""),IF(K62&lt;&gt;"Approved","Approval issue",""))</x:f>
        <x:v>Approval issue</x:v>
      </x:c>
    </x:row>
    <x:row r="63">
      <x:c r="A63" s="55" t="str">
        <x:v>AP-0062</x:v>
      </x:c>
      <x:c r="B63" s="56" t="str">
        <x:v>Vendor 19</x:v>
      </x:c>
      <x:c r="C63" s="56" t="str">
        <x:v>INV-32885</x:v>
      </x:c>
      <x:c r="D63" s="56" t="str"/>
      <x:c r="E63" s="76" t="n">
        <x:v>46159</x:v>
      </x:c>
      <x:c r="F63" s="76" t="n">
        <x:v>46174</x:v>
      </x:c>
      <x:c r="G63" s="80" t="n">
        <x:v>8353.97</x:v>
      </x:c>
      <x:c r="H63" s="80" t="n">
        <x:v>1089.55</x:v>
      </x:c>
      <x:c r="I63" s="80" t="n">
        <x:f>G63+H63</x:f>
        <x:v>9443.519999999999</x:v>
      </x:c>
      <x:c r="J63" s="56" t="str">
        <x:v>On Hold</x:v>
      </x:c>
      <x:c r="K63" s="56" t="str">
        <x:v>Pending</x:v>
      </x:c>
      <x:c r="L63" s="56" t="str">
        <x:f>IF(COUNTIFS($B$2:$B$151,B63,$C$2:$C$151,C63,$I$2:$I$151,I63)&gt;1,"Duplicate Risk","OK")</x:f>
        <x:v>OK</x:v>
      </x:c>
      <x:c r="M63" s="56" t="str">
        <x:f>IF(D63="","Missing PO","Matched")</x:f>
        <x:v>Missing PO</x:v>
      </x:c>
      <x:c r="N63" s="56" t="str">
        <x:f>IF(ABS(H63-G63*0.13)&lt;=1,"OK","Review Tax")</x:f>
        <x:v>Review Tax</x:v>
      </x:c>
      <x:c r="O63" s="122" t="n">
        <x:f>IF(J63="Paid",0,MAX(0,TODAY()-F63))</x:f>
        <x:v>58</x:v>
      </x:c>
      <x:c r="P63" s="56" t="str">
        <x:f>IF(OR(L63="Duplicate Risk",M63="Missing PO",N63="Review Tax",O63&gt;30,K63&lt;&gt;"Approved"),"High","Low")</x:f>
        <x:v>High</x:v>
      </x:c>
      <x:c r="Q63" s="57" t="str">
        <x:f>TEXTJOIN("; ",TRUE,IF(L63="Duplicate Risk","Duplicate risk",""),IF(M63="Missing PO","Missing PO",""),IF(N63="Review Tax","Tax variance",""),IF(O63&gt;0,"Overdue",""),IF(K63&lt;&gt;"Approved","Approval issue",""))</x:f>
        <x:v>Missing PO; Tax variance; Overdue; Approval issue</x:v>
      </x:c>
    </x:row>
    <x:row r="64">
      <x:c r="A64" s="55" t="str">
        <x:v>AP-0063</x:v>
      </x:c>
      <x:c r="B64" s="56" t="str">
        <x:v>Vendor 8</x:v>
      </x:c>
      <x:c r="C64" s="56" t="str">
        <x:v>INV-46332</x:v>
      </x:c>
      <x:c r="D64" s="56" t="str"/>
      <x:c r="E64" s="76" t="n">
        <x:v>46155</x:v>
      </x:c>
      <x:c r="F64" s="76" t="n">
        <x:v>46185</x:v>
      </x:c>
      <x:c r="G64" s="80" t="n">
        <x:v>6473.33</x:v>
      </x:c>
      <x:c r="H64" s="80" t="n">
        <x:v>848.78</x:v>
      </x:c>
      <x:c r="I64" s="80" t="n">
        <x:f>G64+H64</x:f>
        <x:v>7322.11</x:v>
      </x:c>
      <x:c r="J64" s="56" t="str">
        <x:v>Unpaid</x:v>
      </x:c>
      <x:c r="K64" s="56" t="str">
        <x:v>Rejected</x:v>
      </x:c>
      <x:c r="L64" s="56" t="str">
        <x:f>IF(COUNTIFS($B$2:$B$151,B64,$C$2:$C$151,C64,$I$2:$I$151,I64)&gt;1,"Duplicate Risk","OK")</x:f>
        <x:v>OK</x:v>
      </x:c>
      <x:c r="M64" s="56" t="str">
        <x:f>IF(D64="","Missing PO","Matched")</x:f>
        <x:v>Missing PO</x:v>
      </x:c>
      <x:c r="N64" s="56" t="str">
        <x:f>IF(ABS(H64-G64*0.13)&lt;=1,"OK","Review Tax")</x:f>
        <x:v>Review Tax</x:v>
      </x:c>
      <x:c r="O64" s="122" t="n">
        <x:f>IF(J64="Paid",0,MAX(0,TODAY()-F64))</x:f>
        <x:v>47</x:v>
      </x:c>
      <x:c r="P64" s="56" t="str">
        <x:f>IF(OR(L64="Duplicate Risk",M64="Missing PO",N64="Review Tax",O64&gt;30,K64&lt;&gt;"Approved"),"High","Low")</x:f>
        <x:v>High</x:v>
      </x:c>
      <x:c r="Q64" s="57" t="str">
        <x:f>TEXTJOIN("; ",TRUE,IF(L64="Duplicate Risk","Duplicate risk",""),IF(M64="Missing PO","Missing PO",""),IF(N64="Review Tax","Tax variance",""),IF(O64&gt;0,"Overdue",""),IF(K64&lt;&gt;"Approved","Approval issue",""))</x:f>
        <x:v>Missing PO; Tax variance; Overdue; Approval issue</x:v>
      </x:c>
    </x:row>
    <x:row r="65">
      <x:c r="A65" s="55" t="str">
        <x:v>AP-0064</x:v>
      </x:c>
      <x:c r="B65" s="56" t="str">
        <x:v>Vendor 5</x:v>
      </x:c>
      <x:c r="C65" s="56" t="str">
        <x:v>INV-39905</x:v>
      </x:c>
      <x:c r="D65" s="56" t="str"/>
      <x:c r="E65" s="76" t="n">
        <x:v>46154</x:v>
      </x:c>
      <x:c r="F65" s="76" t="n">
        <x:v>46199</x:v>
      </x:c>
      <x:c r="G65" s="80" t="n">
        <x:v>2653.51</x:v>
      </x:c>
      <x:c r="H65" s="80" t="n">
        <x:v>344.96</x:v>
      </x:c>
      <x:c r="I65" s="80" t="n">
        <x:f>G65+H65</x:f>
        <x:v>2998.4700000000003</x:v>
      </x:c>
      <x:c r="J65" s="56" t="str">
        <x:v>Paid</x:v>
      </x:c>
      <x:c r="K65" s="56" t="str">
        <x:v>Approved</x:v>
      </x:c>
      <x:c r="L65" s="56" t="str">
        <x:f>IF(COUNTIFS($B$2:$B$151,B65,$C$2:$C$151,C65,$I$2:$I$151,I65)&gt;1,"Duplicate Risk","OK")</x:f>
        <x:v>OK</x:v>
      </x:c>
      <x:c r="M65" s="56" t="str">
        <x:f>IF(D65="","Missing PO","Matched")</x:f>
        <x:v>Missing PO</x:v>
      </x:c>
      <x:c r="N65" s="56" t="str">
        <x:f>IF(ABS(H65-G65*0.13)&lt;=1,"OK","Review Tax")</x:f>
        <x:v>OK</x:v>
      </x:c>
      <x:c r="O65" s="122" t="n">
        <x:f>IF(J65="Paid",0,MAX(0,TODAY()-F65))</x:f>
        <x:v>0</x:v>
      </x:c>
      <x:c r="P65" s="56" t="str">
        <x:f>IF(OR(L65="Duplicate Risk",M65="Missing PO",N65="Review Tax",O65&gt;30,K65&lt;&gt;"Approved"),"High","Low")</x:f>
        <x:v>High</x:v>
      </x:c>
      <x:c r="Q65" s="57" t="str">
        <x:f>TEXTJOIN("; ",TRUE,IF(L65="Duplicate Risk","Duplicate risk",""),IF(M65="Missing PO","Missing PO",""),IF(N65="Review Tax","Tax variance",""),IF(O65&gt;0,"Overdue",""),IF(K65&lt;&gt;"Approved","Approval issue",""))</x:f>
        <x:v>Missing PO</x:v>
      </x:c>
    </x:row>
    <x:row r="66">
      <x:c r="A66" s="55" t="str">
        <x:v>AP-0065</x:v>
      </x:c>
      <x:c r="B66" s="56" t="str">
        <x:v>Vendor 28</x:v>
      </x:c>
      <x:c r="C66" s="56" t="str">
        <x:v>INV-41375</x:v>
      </x:c>
      <x:c r="D66" s="56" t="str"/>
      <x:c r="E66" s="76" t="n">
        <x:v>46194</x:v>
      </x:c>
      <x:c r="F66" s="76" t="n">
        <x:v>46239</x:v>
      </x:c>
      <x:c r="G66" s="80" t="n">
        <x:v>9505.12</x:v>
      </x:c>
      <x:c r="H66" s="80" t="n">
        <x:v>1235.67</x:v>
      </x:c>
      <x:c r="I66" s="80" t="n">
        <x:f>G66+H66</x:f>
        <x:v>10740.79</x:v>
      </x:c>
      <x:c r="J66" s="56" t="str">
        <x:v>Unpaid</x:v>
      </x:c>
      <x:c r="K66" s="56" t="str">
        <x:v>Approved</x:v>
      </x:c>
      <x:c r="L66" s="56" t="str">
        <x:f>IF(COUNTIFS($B$2:$B$151,B66,$C$2:$C$151,C66,$I$2:$I$151,I66)&gt;1,"Duplicate Risk","OK")</x:f>
        <x:v>Duplicate Risk</x:v>
      </x:c>
      <x:c r="M66" s="56" t="str">
        <x:f>IF(D66="","Missing PO","Matched")</x:f>
        <x:v>Missing PO</x:v>
      </x:c>
      <x:c r="N66" s="56" t="str">
        <x:f>IF(ABS(H66-G66*0.13)&lt;=1,"OK","Review Tax")</x:f>
        <x:v>OK</x:v>
      </x:c>
      <x:c r="O66" s="122" t="n">
        <x:f>IF(J66="Paid",0,MAX(0,TODAY()-F66))</x:f>
        <x:v>0</x:v>
      </x:c>
      <x:c r="P66" s="56" t="str">
        <x:f>IF(OR(L66="Duplicate Risk",M66="Missing PO",N66="Review Tax",O66&gt;30,K66&lt;&gt;"Approved"),"High","Low")</x:f>
        <x:v>High</x:v>
      </x:c>
      <x:c r="Q66" s="57" t="str">
        <x:f>TEXTJOIN("; ",TRUE,IF(L66="Duplicate Risk","Duplicate risk",""),IF(M66="Missing PO","Missing PO",""),IF(N66="Review Tax","Tax variance",""),IF(O66&gt;0,"Overdue",""),IF(K66&lt;&gt;"Approved","Approval issue",""))</x:f>
        <x:v>Duplicate risk; Missing PO</x:v>
      </x:c>
    </x:row>
    <x:row r="67">
      <x:c r="A67" s="55" t="str">
        <x:v>AP-0066</x:v>
      </x:c>
      <x:c r="B67" s="56" t="str">
        <x:v>Vendor 6</x:v>
      </x:c>
      <x:c r="C67" s="56" t="str">
        <x:v>INV-44936</x:v>
      </x:c>
      <x:c r="D67" s="56" t="str">
        <x:v>PO-1051</x:v>
      </x:c>
      <x:c r="E67" s="76" t="n">
        <x:v>46198</x:v>
      </x:c>
      <x:c r="F67" s="76" t="n">
        <x:v>46243</x:v>
      </x:c>
      <x:c r="G67" s="80" t="n">
        <x:v>2291.5</x:v>
      </x:c>
      <x:c r="H67" s="80" t="n">
        <x:v>297.89</x:v>
      </x:c>
      <x:c r="I67" s="80" t="n">
        <x:f>G67+H67</x:f>
        <x:v>2589.39</x:v>
      </x:c>
      <x:c r="J67" s="56" t="str">
        <x:v>Unpaid</x:v>
      </x:c>
      <x:c r="K67" s="56" t="str">
        <x:v>Pending</x:v>
      </x:c>
      <x:c r="L67" s="56" t="str">
        <x:f>IF(COUNTIFS($B$2:$B$151,B67,$C$2:$C$151,C67,$I$2:$I$151,I67)&gt;1,"Duplicate Risk","OK")</x:f>
        <x:v>OK</x:v>
      </x:c>
      <x:c r="M67" s="56" t="str">
        <x:f>IF(D67="","Missing PO","Matched")</x:f>
        <x:v>Matched</x:v>
      </x:c>
      <x:c r="N67" s="56" t="str">
        <x:f>IF(ABS(H67-G67*0.13)&lt;=1,"OK","Review Tax")</x:f>
        <x:v>OK</x:v>
      </x:c>
      <x:c r="O67" s="122" t="n">
        <x:f>IF(J67="Paid",0,MAX(0,TODAY()-F67))</x:f>
        <x:v>0</x:v>
      </x:c>
      <x:c r="P67" s="56" t="str">
        <x:f>IF(OR(L67="Duplicate Risk",M67="Missing PO",N67="Review Tax",O67&gt;30,K67&lt;&gt;"Approved"),"High","Low")</x:f>
        <x:v>High</x:v>
      </x:c>
      <x:c r="Q67" s="57" t="str">
        <x:f>TEXTJOIN("; ",TRUE,IF(L67="Duplicate Risk","Duplicate risk",""),IF(M67="Missing PO","Missing PO",""),IF(N67="Review Tax","Tax variance",""),IF(O67&gt;0,"Overdue",""),IF(K67&lt;&gt;"Approved","Approval issue",""))</x:f>
        <x:v>Approval issue</x:v>
      </x:c>
    </x:row>
    <x:row r="68">
      <x:c r="A68" s="55" t="str">
        <x:v>AP-0067</x:v>
      </x:c>
      <x:c r="B68" s="56" t="str">
        <x:v>Vendor 1</x:v>
      </x:c>
      <x:c r="C68" s="56" t="str">
        <x:v>INV-42819</x:v>
      </x:c>
      <x:c r="D68" s="56" t="str">
        <x:v>PO-1091</x:v>
      </x:c>
      <x:c r="E68" s="76" t="n">
        <x:v>46151</x:v>
      </x:c>
      <x:c r="F68" s="76" t="n">
        <x:v>46166</x:v>
      </x:c>
      <x:c r="G68" s="80" t="n">
        <x:v>9451.47</x:v>
      </x:c>
      <x:c r="H68" s="80" t="n">
        <x:v>1227.76</x:v>
      </x:c>
      <x:c r="I68" s="80" t="n">
        <x:f>G68+H68</x:f>
        <x:v>10679.23</x:v>
      </x:c>
      <x:c r="J68" s="56" t="str">
        <x:v>Paid</x:v>
      </x:c>
      <x:c r="K68" s="56" t="str">
        <x:v>Approved</x:v>
      </x:c>
      <x:c r="L68" s="56" t="str">
        <x:f>IF(COUNTIFS($B$2:$B$151,B68,$C$2:$C$151,C68,$I$2:$I$151,I68)&gt;1,"Duplicate Risk","OK")</x:f>
        <x:v>OK</x:v>
      </x:c>
      <x:c r="M68" s="56" t="str">
        <x:f>IF(D68="","Missing PO","Matched")</x:f>
        <x:v>Matched</x:v>
      </x:c>
      <x:c r="N68" s="56" t="str">
        <x:f>IF(ABS(H68-G68*0.13)&lt;=1,"OK","Review Tax")</x:f>
        <x:v>OK</x:v>
      </x:c>
      <x:c r="O68" s="122" t="n">
        <x:f>IF(J68="Paid",0,MAX(0,TODAY()-F68))</x:f>
        <x:v>0</x:v>
      </x:c>
      <x:c r="P68" s="56" t="str">
        <x:f>IF(OR(L68="Duplicate Risk",M68="Missing PO",N68="Review Tax",O68&gt;30,K68&lt;&gt;"Approved"),"High","Low")</x:f>
        <x:v>Low</x:v>
      </x:c>
      <x:c r="Q68" s="57" t="str">
        <x:f>TEXTJOIN("; ",TRUE,IF(L68="Duplicate Risk","Duplicate risk",""),IF(M68="Missing PO","Missing PO",""),IF(N68="Review Tax","Tax variance",""),IF(O68&gt;0,"Overdue",""),IF(K68&lt;&gt;"Approved","Approval issue",""))</x:f>
      </x:c>
    </x:row>
    <x:row r="69">
      <x:c r="A69" s="55" t="str">
        <x:v>AP-0068</x:v>
      </x:c>
      <x:c r="B69" s="56" t="str">
        <x:v>Vendor 11</x:v>
      </x:c>
      <x:c r="C69" s="56" t="str">
        <x:v>INV-39323</x:v>
      </x:c>
      <x:c r="D69" s="56" t="str">
        <x:v>PO-1098</x:v>
      </x:c>
      <x:c r="E69" s="76" t="n">
        <x:v>46155</x:v>
      </x:c>
      <x:c r="F69" s="76" t="n">
        <x:v>46200</x:v>
      </x:c>
      <x:c r="G69" s="80" t="n">
        <x:v>4229.2</x:v>
      </x:c>
      <x:c r="H69" s="80" t="n">
        <x:v>549.8</x:v>
      </x:c>
      <x:c r="I69" s="80" t="n">
        <x:f>G69+H69</x:f>
        <x:v>4779</x:v>
      </x:c>
      <x:c r="J69" s="56" t="str">
        <x:v>On Hold</x:v>
      </x:c>
      <x:c r="K69" s="56" t="str">
        <x:v>Pending</x:v>
      </x:c>
      <x:c r="L69" s="56" t="str">
        <x:f>IF(COUNTIFS($B$2:$B$151,B69,$C$2:$C$151,C69,$I$2:$I$151,I69)&gt;1,"Duplicate Risk","OK")</x:f>
        <x:v>OK</x:v>
      </x:c>
      <x:c r="M69" s="56" t="str">
        <x:f>IF(D69="","Missing PO","Matched")</x:f>
        <x:v>Matched</x:v>
      </x:c>
      <x:c r="N69" s="56" t="str">
        <x:f>IF(ABS(H69-G69*0.13)&lt;=1,"OK","Review Tax")</x:f>
        <x:v>OK</x:v>
      </x:c>
      <x:c r="O69" s="122" t="n">
        <x:f>IF(J69="Paid",0,MAX(0,TODAY()-F69))</x:f>
        <x:v>32</x:v>
      </x:c>
      <x:c r="P69" s="56" t="str">
        <x:f>IF(OR(L69="Duplicate Risk",M69="Missing PO",N69="Review Tax",O69&gt;30,K69&lt;&gt;"Approved"),"High","Low")</x:f>
        <x:v>High</x:v>
      </x:c>
      <x:c r="Q69" s="57" t="str">
        <x:f>TEXTJOIN("; ",TRUE,IF(L69="Duplicate Risk","Duplicate risk",""),IF(M69="Missing PO","Missing PO",""),IF(N69="Review Tax","Tax variance",""),IF(O69&gt;0,"Overdue",""),IF(K69&lt;&gt;"Approved","Approval issue",""))</x:f>
        <x:v>Overdue; Approval issue</x:v>
      </x:c>
    </x:row>
    <x:row r="70">
      <x:c r="A70" s="55" t="str">
        <x:v>AP-0069</x:v>
      </x:c>
      <x:c r="B70" s="56" t="str">
        <x:v>Vendor 8</x:v>
      </x:c>
      <x:c r="C70" s="56" t="str">
        <x:v>INV-21056</x:v>
      </x:c>
      <x:c r="D70" s="56" t="str"/>
      <x:c r="E70" s="76" t="n">
        <x:v>46151</x:v>
      </x:c>
      <x:c r="F70" s="76" t="n">
        <x:v>46166</x:v>
      </x:c>
      <x:c r="G70" s="80" t="n">
        <x:v>7658.63</x:v>
      </x:c>
      <x:c r="H70" s="80" t="n">
        <x:v>995.62</x:v>
      </x:c>
      <x:c r="I70" s="80" t="n">
        <x:f>G70+H70</x:f>
        <x:v>8654.25</x:v>
      </x:c>
      <x:c r="J70" s="56" t="str">
        <x:v>Unpaid</x:v>
      </x:c>
      <x:c r="K70" s="56" t="str">
        <x:v>Rejected</x:v>
      </x:c>
      <x:c r="L70" s="56" t="str">
        <x:f>IF(COUNTIFS($B$2:$B$151,B70,$C$2:$C$151,C70,$I$2:$I$151,I70)&gt;1,"Duplicate Risk","OK")</x:f>
        <x:v>OK</x:v>
      </x:c>
      <x:c r="M70" s="56" t="str">
        <x:f>IF(D70="","Missing PO","Matched")</x:f>
        <x:v>Missing PO</x:v>
      </x:c>
      <x:c r="N70" s="56" t="str">
        <x:f>IF(ABS(H70-G70*0.13)&lt;=1,"OK","Review Tax")</x:f>
        <x:v>OK</x:v>
      </x:c>
      <x:c r="O70" s="122" t="n">
        <x:f>IF(J70="Paid",0,MAX(0,TODAY()-F70))</x:f>
        <x:v>66</x:v>
      </x:c>
      <x:c r="P70" s="56" t="str">
        <x:f>IF(OR(L70="Duplicate Risk",M70="Missing PO",N70="Review Tax",O70&gt;30,K70&lt;&gt;"Approved"),"High","Low")</x:f>
        <x:v>High</x:v>
      </x:c>
      <x:c r="Q70" s="57" t="str">
        <x:f>TEXTJOIN("; ",TRUE,IF(L70="Duplicate Risk","Duplicate risk",""),IF(M70="Missing PO","Missing PO",""),IF(N70="Review Tax","Tax variance",""),IF(O70&gt;0,"Overdue",""),IF(K70&lt;&gt;"Approved","Approval issue",""))</x:f>
        <x:v>Missing PO; Overdue; Approval issue</x:v>
      </x:c>
    </x:row>
    <x:row r="71">
      <x:c r="A71" s="55" t="str">
        <x:v>AP-0070</x:v>
      </x:c>
      <x:c r="B71" s="56" t="str">
        <x:v>Vendor 12</x:v>
      </x:c>
      <x:c r="C71" s="56" t="str">
        <x:v>INV-45074</x:v>
      </x:c>
      <x:c r="D71" s="56" t="str"/>
      <x:c r="E71" s="76" t="n">
        <x:v>46151</x:v>
      </x:c>
      <x:c r="F71" s="76" t="n">
        <x:v>46181</x:v>
      </x:c>
      <x:c r="G71" s="80" t="n">
        <x:v>4756.22</x:v>
      </x:c>
      <x:c r="H71" s="80" t="n">
        <x:v>616.26</x:v>
      </x:c>
      <x:c r="I71" s="80" t="n">
        <x:f>G71+H71</x:f>
        <x:v>5372.4800000000005</x:v>
      </x:c>
      <x:c r="J71" s="56" t="str">
        <x:v>Paid</x:v>
      </x:c>
      <x:c r="K71" s="56" t="str">
        <x:v>Pending</x:v>
      </x:c>
      <x:c r="L71" s="56" t="str">
        <x:f>IF(COUNTIFS($B$2:$B$151,B71,$C$2:$C$151,C71,$I$2:$I$151,I71)&gt;1,"Duplicate Risk","OK")</x:f>
        <x:v>OK</x:v>
      </x:c>
      <x:c r="M71" s="56" t="str">
        <x:f>IF(D71="","Missing PO","Matched")</x:f>
        <x:v>Missing PO</x:v>
      </x:c>
      <x:c r="N71" s="56" t="str">
        <x:f>IF(ABS(H71-G71*0.13)&lt;=1,"OK","Review Tax")</x:f>
        <x:v>Review Tax</x:v>
      </x:c>
      <x:c r="O71" s="122" t="n">
        <x:f>IF(J71="Paid",0,MAX(0,TODAY()-F71))</x:f>
        <x:v>0</x:v>
      </x:c>
      <x:c r="P71" s="56" t="str">
        <x:f>IF(OR(L71="Duplicate Risk",M71="Missing PO",N71="Review Tax",O71&gt;30,K71&lt;&gt;"Approved"),"High","Low")</x:f>
        <x:v>High</x:v>
      </x:c>
      <x:c r="Q71" s="57" t="str">
        <x:f>TEXTJOIN("; ",TRUE,IF(L71="Duplicate Risk","Duplicate risk",""),IF(M71="Missing PO","Missing PO",""),IF(N71="Review Tax","Tax variance",""),IF(O71&gt;0,"Overdue",""),IF(K71&lt;&gt;"Approved","Approval issue",""))</x:f>
        <x:v>Missing PO; Tax variance; Approval issue</x:v>
      </x:c>
    </x:row>
    <x:row r="72">
      <x:c r="A72" s="55" t="str">
        <x:v>AP-0071</x:v>
      </x:c>
      <x:c r="B72" s="56" t="str">
        <x:v>Vendor 27</x:v>
      </x:c>
      <x:c r="C72" s="56" t="str">
        <x:v>INV-20281</x:v>
      </x:c>
      <x:c r="D72" s="56" t="str"/>
      <x:c r="E72" s="76" t="n">
        <x:v>46151</x:v>
      </x:c>
      <x:c r="F72" s="76" t="n">
        <x:v>46181</x:v>
      </x:c>
      <x:c r="G72" s="80" t="n">
        <x:v>7541.52</x:v>
      </x:c>
      <x:c r="H72" s="80" t="n">
        <x:v>980.4</x:v>
      </x:c>
      <x:c r="I72" s="80" t="n">
        <x:f>G72+H72</x:f>
        <x:v>8521.92</x:v>
      </x:c>
      <x:c r="J72" s="56" t="str">
        <x:v>Unpaid</x:v>
      </x:c>
      <x:c r="K72" s="56" t="str">
        <x:v>Rejected</x:v>
      </x:c>
      <x:c r="L72" s="56" t="str">
        <x:f>IF(COUNTIFS($B$2:$B$151,B72,$C$2:$C$151,C72,$I$2:$I$151,I72)&gt;1,"Duplicate Risk","OK")</x:f>
        <x:v>OK</x:v>
      </x:c>
      <x:c r="M72" s="56" t="str">
        <x:f>IF(D72="","Missing PO","Matched")</x:f>
        <x:v>Missing PO</x:v>
      </x:c>
      <x:c r="N72" s="56" t="str">
        <x:f>IF(ABS(H72-G72*0.13)&lt;=1,"OK","Review Tax")</x:f>
        <x:v>OK</x:v>
      </x:c>
      <x:c r="O72" s="122" t="n">
        <x:f>IF(J72="Paid",0,MAX(0,TODAY()-F72))</x:f>
        <x:v>51</x:v>
      </x:c>
      <x:c r="P72" s="56" t="str">
        <x:f>IF(OR(L72="Duplicate Risk",M72="Missing PO",N72="Review Tax",O72&gt;30,K72&lt;&gt;"Approved"),"High","Low")</x:f>
        <x:v>High</x:v>
      </x:c>
      <x:c r="Q72" s="57" t="str">
        <x:f>TEXTJOIN("; ",TRUE,IF(L72="Duplicate Risk","Duplicate risk",""),IF(M72="Missing PO","Missing PO",""),IF(N72="Review Tax","Tax variance",""),IF(O72&gt;0,"Overdue",""),IF(K72&lt;&gt;"Approved","Approval issue",""))</x:f>
        <x:v>Missing PO; Overdue; Approval issue</x:v>
      </x:c>
    </x:row>
    <x:row r="73">
      <x:c r="A73" s="55" t="str">
        <x:v>AP-0072</x:v>
      </x:c>
      <x:c r="B73" s="56" t="str">
        <x:v>Vendor 1</x:v>
      </x:c>
      <x:c r="C73" s="56" t="str">
        <x:v>INV-47332</x:v>
      </x:c>
      <x:c r="D73" s="56" t="str"/>
      <x:c r="E73" s="76" t="n">
        <x:v>46167</x:v>
      </x:c>
      <x:c r="F73" s="76" t="n">
        <x:v>46197</x:v>
      </x:c>
      <x:c r="G73" s="80" t="n">
        <x:v>1660.3</x:v>
      </x:c>
      <x:c r="H73" s="80" t="n">
        <x:v>215.84</x:v>
      </x:c>
      <x:c r="I73" s="80" t="n">
        <x:f>G73+H73</x:f>
        <x:v>1876.1399999999999</x:v>
      </x:c>
      <x:c r="J73" s="56" t="str">
        <x:v>On Hold</x:v>
      </x:c>
      <x:c r="K73" s="56" t="str">
        <x:v>Rejected</x:v>
      </x:c>
      <x:c r="L73" s="56" t="str">
        <x:f>IF(COUNTIFS($B$2:$B$151,B73,$C$2:$C$151,C73,$I$2:$I$151,I73)&gt;1,"Duplicate Risk","OK")</x:f>
        <x:v>OK</x:v>
      </x:c>
      <x:c r="M73" s="56" t="str">
        <x:f>IF(D73="","Missing PO","Matched")</x:f>
        <x:v>Missing PO</x:v>
      </x:c>
      <x:c r="N73" s="56" t="str">
        <x:f>IF(ABS(H73-G73*0.13)&lt;=1,"OK","Review Tax")</x:f>
        <x:v>OK</x:v>
      </x:c>
      <x:c r="O73" s="122" t="n">
        <x:f>IF(J73="Paid",0,MAX(0,TODAY()-F73))</x:f>
        <x:v>35</x:v>
      </x:c>
      <x:c r="P73" s="56" t="str">
        <x:f>IF(OR(L73="Duplicate Risk",M73="Missing PO",N73="Review Tax",O73&gt;30,K73&lt;&gt;"Approved"),"High","Low")</x:f>
        <x:v>High</x:v>
      </x:c>
      <x:c r="Q73" s="57" t="str">
        <x:f>TEXTJOIN("; ",TRUE,IF(L73="Duplicate Risk","Duplicate risk",""),IF(M73="Missing PO","Missing PO",""),IF(N73="Review Tax","Tax variance",""),IF(O73&gt;0,"Overdue",""),IF(K73&lt;&gt;"Approved","Approval issue",""))</x:f>
        <x:v>Missing PO; Overdue; Approval issue</x:v>
      </x:c>
    </x:row>
    <x:row r="74">
      <x:c r="A74" s="55" t="str">
        <x:v>AP-0073</x:v>
      </x:c>
      <x:c r="B74" s="56" t="str">
        <x:v>Vendor 25</x:v>
      </x:c>
      <x:c r="C74" s="56" t="str">
        <x:v>INV-26450</x:v>
      </x:c>
      <x:c r="D74" s="56" t="str"/>
      <x:c r="E74" s="76" t="n">
        <x:v>46194</x:v>
      </x:c>
      <x:c r="F74" s="76" t="n">
        <x:v>46224</x:v>
      </x:c>
      <x:c r="G74" s="80" t="n">
        <x:v>3020.74</x:v>
      </x:c>
      <x:c r="H74" s="80" t="n">
        <x:v>392.7</x:v>
      </x:c>
      <x:c r="I74" s="80" t="n">
        <x:f>G74+H74</x:f>
        <x:v>3413.4399999999996</x:v>
      </x:c>
      <x:c r="J74" s="56" t="str">
        <x:v>Unpaid</x:v>
      </x:c>
      <x:c r="K74" s="56" t="str">
        <x:v>Rejected</x:v>
      </x:c>
      <x:c r="L74" s="56" t="str">
        <x:f>IF(COUNTIFS($B$2:$B$151,B74,$C$2:$C$151,C74,$I$2:$I$151,I74)&gt;1,"Duplicate Risk","OK")</x:f>
        <x:v>OK</x:v>
      </x:c>
      <x:c r="M74" s="56" t="str">
        <x:f>IF(D74="","Missing PO","Matched")</x:f>
        <x:v>Missing PO</x:v>
      </x:c>
      <x:c r="N74" s="56" t="str">
        <x:f>IF(ABS(H74-G74*0.13)&lt;=1,"OK","Review Tax")</x:f>
        <x:v>OK</x:v>
      </x:c>
      <x:c r="O74" s="122" t="n">
        <x:f>IF(J74="Paid",0,MAX(0,TODAY()-F74))</x:f>
        <x:v>8</x:v>
      </x:c>
      <x:c r="P74" s="56" t="str">
        <x:f>IF(OR(L74="Duplicate Risk",M74="Missing PO",N74="Review Tax",O74&gt;30,K74&lt;&gt;"Approved"),"High","Low")</x:f>
        <x:v>High</x:v>
      </x:c>
      <x:c r="Q74" s="57" t="str">
        <x:f>TEXTJOIN("; ",TRUE,IF(L74="Duplicate Risk","Duplicate risk",""),IF(M74="Missing PO","Missing PO",""),IF(N74="Review Tax","Tax variance",""),IF(O74&gt;0,"Overdue",""),IF(K74&lt;&gt;"Approved","Approval issue",""))</x:f>
        <x:v>Missing PO; Overdue; Approval issue</x:v>
      </x:c>
    </x:row>
    <x:row r="75">
      <x:c r="A75" s="55" t="str">
        <x:v>AP-0074</x:v>
      </x:c>
      <x:c r="B75" s="56" t="str">
        <x:v>Vendor 3</x:v>
      </x:c>
      <x:c r="C75" s="56" t="str">
        <x:v>INV-45498</x:v>
      </x:c>
      <x:c r="D75" s="56" t="str"/>
      <x:c r="E75" s="76" t="n">
        <x:v>46185</x:v>
      </x:c>
      <x:c r="F75" s="76" t="n">
        <x:v>46230</x:v>
      </x:c>
      <x:c r="G75" s="80" t="n">
        <x:v>1904.94</x:v>
      </x:c>
      <x:c r="H75" s="80" t="n">
        <x:v>247.64</x:v>
      </x:c>
      <x:c r="I75" s="80" t="n">
        <x:f>G75+H75</x:f>
        <x:v>2152.58</x:v>
      </x:c>
      <x:c r="J75" s="56" t="str">
        <x:v>On Hold</x:v>
      </x:c>
      <x:c r="K75" s="56" t="str">
        <x:v>Rejected</x:v>
      </x:c>
      <x:c r="L75" s="56" t="str">
        <x:f>IF(COUNTIFS($B$2:$B$151,B75,$C$2:$C$151,C75,$I$2:$I$151,I75)&gt;1,"Duplicate Risk","OK")</x:f>
        <x:v>OK</x:v>
      </x:c>
      <x:c r="M75" s="56" t="str">
        <x:f>IF(D75="","Missing PO","Matched")</x:f>
        <x:v>Missing PO</x:v>
      </x:c>
      <x:c r="N75" s="56" t="str">
        <x:f>IF(ABS(H75-G75*0.13)&lt;=1,"OK","Review Tax")</x:f>
        <x:v>OK</x:v>
      </x:c>
      <x:c r="O75" s="122" t="n">
        <x:f>IF(J75="Paid",0,MAX(0,TODAY()-F75))</x:f>
        <x:v>2</x:v>
      </x:c>
      <x:c r="P75" s="56" t="str">
        <x:f>IF(OR(L75="Duplicate Risk",M75="Missing PO",N75="Review Tax",O75&gt;30,K75&lt;&gt;"Approved"),"High","Low")</x:f>
        <x:v>High</x:v>
      </x:c>
      <x:c r="Q75" s="57" t="str">
        <x:f>TEXTJOIN("; ",TRUE,IF(L75="Duplicate Risk","Duplicate risk",""),IF(M75="Missing PO","Missing PO",""),IF(N75="Review Tax","Tax variance",""),IF(O75&gt;0,"Overdue",""),IF(K75&lt;&gt;"Approved","Approval issue",""))</x:f>
        <x:v>Missing PO; Overdue; Approval issue</x:v>
      </x:c>
    </x:row>
    <x:row r="76">
      <x:c r="A76" s="55" t="str">
        <x:v>AP-0075</x:v>
      </x:c>
      <x:c r="B76" s="56" t="str">
        <x:v>Vendor 15</x:v>
      </x:c>
      <x:c r="C76" s="56" t="str">
        <x:v>INV-25387</x:v>
      </x:c>
      <x:c r="D76" s="56" t="str">
        <x:v>PO-1066</x:v>
      </x:c>
      <x:c r="E76" s="76" t="n">
        <x:v>46163</x:v>
      </x:c>
      <x:c r="F76" s="76" t="n">
        <x:v>46208</x:v>
      </x:c>
      <x:c r="G76" s="80" t="n">
        <x:v>4754.65</x:v>
      </x:c>
      <x:c r="H76" s="80" t="n">
        <x:v>610.82</x:v>
      </x:c>
      <x:c r="I76" s="80" t="n">
        <x:f>G76+H76</x:f>
        <x:v>5365.469999999999</x:v>
      </x:c>
      <x:c r="J76" s="56" t="str">
        <x:v>On Hold</x:v>
      </x:c>
      <x:c r="K76" s="56" t="str">
        <x:v>Approved</x:v>
      </x:c>
      <x:c r="L76" s="56" t="str">
        <x:f>IF(COUNTIFS($B$2:$B$151,B76,$C$2:$C$151,C76,$I$2:$I$151,I76)&gt;1,"Duplicate Risk","OK")</x:f>
        <x:v>OK</x:v>
      </x:c>
      <x:c r="M76" s="56" t="str">
        <x:f>IF(D76="","Missing PO","Matched")</x:f>
        <x:v>Matched</x:v>
      </x:c>
      <x:c r="N76" s="56" t="str">
        <x:f>IF(ABS(H76-G76*0.13)&lt;=1,"OK","Review Tax")</x:f>
        <x:v>Review Tax</x:v>
      </x:c>
      <x:c r="O76" s="122" t="n">
        <x:f>IF(J76="Paid",0,MAX(0,TODAY()-F76))</x:f>
        <x:v>24</x:v>
      </x:c>
      <x:c r="P76" s="56" t="str">
        <x:f>IF(OR(L76="Duplicate Risk",M76="Missing PO",N76="Review Tax",O76&gt;30,K76&lt;&gt;"Approved"),"High","Low")</x:f>
        <x:v>High</x:v>
      </x:c>
      <x:c r="Q76" s="57" t="str">
        <x:f>TEXTJOIN("; ",TRUE,IF(L76="Duplicate Risk","Duplicate risk",""),IF(M76="Missing PO","Missing PO",""),IF(N76="Review Tax","Tax variance",""),IF(O76&gt;0,"Overdue",""),IF(K76&lt;&gt;"Approved","Approval issue",""))</x:f>
        <x:v>Tax variance; Overdue</x:v>
      </x:c>
    </x:row>
    <x:row r="77">
      <x:c r="A77" s="55" t="str">
        <x:v>AP-0076</x:v>
      </x:c>
      <x:c r="B77" s="56" t="str">
        <x:v>Vendor 4</x:v>
      </x:c>
      <x:c r="C77" s="56" t="str">
        <x:v>INV-47141</x:v>
      </x:c>
      <x:c r="D77" s="56" t="str">
        <x:v>PO-1007</x:v>
      </x:c>
      <x:c r="E77" s="76" t="n">
        <x:v>46182</x:v>
      </x:c>
      <x:c r="F77" s="76" t="n">
        <x:v>46197</x:v>
      </x:c>
      <x:c r="G77" s="80" t="n">
        <x:v>7705.06</x:v>
      </x:c>
      <x:c r="H77" s="80" t="n">
        <x:v>1001.66</x:v>
      </x:c>
      <x:c r="I77" s="80" t="n">
        <x:f>G77+H77</x:f>
        <x:v>8706.720000000001</x:v>
      </x:c>
      <x:c r="J77" s="56" t="str">
        <x:v>Unpaid</x:v>
      </x:c>
      <x:c r="K77" s="56" t="str">
        <x:v>Pending</x:v>
      </x:c>
      <x:c r="L77" s="56" t="str">
        <x:f>IF(COUNTIFS($B$2:$B$151,B77,$C$2:$C$151,C77,$I$2:$I$151,I77)&gt;1,"Duplicate Risk","OK")</x:f>
        <x:v>OK</x:v>
      </x:c>
      <x:c r="M77" s="56" t="str">
        <x:f>IF(D77="","Missing PO","Matched")</x:f>
        <x:v>Matched</x:v>
      </x:c>
      <x:c r="N77" s="56" t="str">
        <x:f>IF(ABS(H77-G77*0.13)&lt;=1,"OK","Review Tax")</x:f>
        <x:v>OK</x:v>
      </x:c>
      <x:c r="O77" s="122" t="n">
        <x:f>IF(J77="Paid",0,MAX(0,TODAY()-F77))</x:f>
        <x:v>35</x:v>
      </x:c>
      <x:c r="P77" s="56" t="str">
        <x:f>IF(OR(L77="Duplicate Risk",M77="Missing PO",N77="Review Tax",O77&gt;30,K77&lt;&gt;"Approved"),"High","Low")</x:f>
        <x:v>High</x:v>
      </x:c>
      <x:c r="Q77" s="57" t="str">
        <x:f>TEXTJOIN("; ",TRUE,IF(L77="Duplicate Risk","Duplicate risk",""),IF(M77="Missing PO","Missing PO",""),IF(N77="Review Tax","Tax variance",""),IF(O77&gt;0,"Overdue",""),IF(K77&lt;&gt;"Approved","Approval issue",""))</x:f>
        <x:v>Overdue; Approval issue</x:v>
      </x:c>
    </x:row>
    <x:row r="78">
      <x:c r="A78" s="55" t="str">
        <x:v>AP-0077</x:v>
      </x:c>
      <x:c r="B78" s="56" t="str">
        <x:v>Vendor 20</x:v>
      </x:c>
      <x:c r="C78" s="56" t="str">
        <x:v>INV-48617</x:v>
      </x:c>
      <x:c r="D78" s="56" t="str">
        <x:v>PO-1073</x:v>
      </x:c>
      <x:c r="E78" s="76" t="n">
        <x:v>46165</x:v>
      </x:c>
      <x:c r="F78" s="76" t="n">
        <x:v>46180</x:v>
      </x:c>
      <x:c r="G78" s="80" t="n">
        <x:v>5274.93</x:v>
      </x:c>
      <x:c r="H78" s="80" t="n">
        <x:v>683.3</x:v>
      </x:c>
      <x:c r="I78" s="80" t="n">
        <x:f>G78+H78</x:f>
        <x:v>5958.2300000000005</x:v>
      </x:c>
      <x:c r="J78" s="56" t="str">
        <x:v>Unpaid</x:v>
      </x:c>
      <x:c r="K78" s="56" t="str">
        <x:v>Approved</x:v>
      </x:c>
      <x:c r="L78" s="56" t="str">
        <x:f>IF(COUNTIFS($B$2:$B$151,B78,$C$2:$C$151,C78,$I$2:$I$151,I78)&gt;1,"Duplicate Risk","OK")</x:f>
        <x:v>OK</x:v>
      </x:c>
      <x:c r="M78" s="56" t="str">
        <x:f>IF(D78="","Missing PO","Matched")</x:f>
        <x:v>Matched</x:v>
      </x:c>
      <x:c r="N78" s="56" t="str">
        <x:f>IF(ABS(H78-G78*0.13)&lt;=1,"OK","Review Tax")</x:f>
        <x:v>Review Tax</x:v>
      </x:c>
      <x:c r="O78" s="122" t="n">
        <x:f>IF(J78="Paid",0,MAX(0,TODAY()-F78))</x:f>
        <x:v>52</x:v>
      </x:c>
      <x:c r="P78" s="56" t="str">
        <x:f>IF(OR(L78="Duplicate Risk",M78="Missing PO",N78="Review Tax",O78&gt;30,K78&lt;&gt;"Approved"),"High","Low")</x:f>
        <x:v>High</x:v>
      </x:c>
      <x:c r="Q78" s="57" t="str">
        <x:f>TEXTJOIN("; ",TRUE,IF(L78="Duplicate Risk","Duplicate risk",""),IF(M78="Missing PO","Missing PO",""),IF(N78="Review Tax","Tax variance",""),IF(O78&gt;0,"Overdue",""),IF(K78&lt;&gt;"Approved","Approval issue",""))</x:f>
        <x:v>Tax variance; Overdue</x:v>
      </x:c>
    </x:row>
    <x:row r="79">
      <x:c r="A79" s="55" t="str">
        <x:v>AP-0078</x:v>
      </x:c>
      <x:c r="B79" s="56" t="str">
        <x:v>Vendor 15</x:v>
      </x:c>
      <x:c r="C79" s="56" t="str">
        <x:v>INV-26038</x:v>
      </x:c>
      <x:c r="D79" s="56" t="str">
        <x:v>PO-1046</x:v>
      </x:c>
      <x:c r="E79" s="76" t="n">
        <x:v>46176</x:v>
      </x:c>
      <x:c r="F79" s="76" t="n">
        <x:v>46191</x:v>
      </x:c>
      <x:c r="G79" s="80" t="n">
        <x:v>11442.48</x:v>
      </x:c>
      <x:c r="H79" s="80" t="n">
        <x:v>1487.52</x:v>
      </x:c>
      <x:c r="I79" s="80" t="n">
        <x:f>G79+H79</x:f>
        <x:v>12930</x:v>
      </x:c>
      <x:c r="J79" s="56" t="str">
        <x:v>Unpaid</x:v>
      </x:c>
      <x:c r="K79" s="56" t="str">
        <x:v>Approved</x:v>
      </x:c>
      <x:c r="L79" s="56" t="str">
        <x:f>IF(COUNTIFS($B$2:$B$151,B79,$C$2:$C$151,C79,$I$2:$I$151,I79)&gt;1,"Duplicate Risk","OK")</x:f>
        <x:v>OK</x:v>
      </x:c>
      <x:c r="M79" s="56" t="str">
        <x:f>IF(D79="","Missing PO","Matched")</x:f>
        <x:v>Matched</x:v>
      </x:c>
      <x:c r="N79" s="56" t="str">
        <x:f>IF(ABS(H79-G79*0.13)&lt;=1,"OK","Review Tax")</x:f>
        <x:v>OK</x:v>
      </x:c>
      <x:c r="O79" s="122" t="n">
        <x:f>IF(J79="Paid",0,MAX(0,TODAY()-F79))</x:f>
        <x:v>41</x:v>
      </x:c>
      <x:c r="P79" s="56" t="str">
        <x:f>IF(OR(L79="Duplicate Risk",M79="Missing PO",N79="Review Tax",O79&gt;30,K79&lt;&gt;"Approved"),"High","Low")</x:f>
        <x:v>High</x:v>
      </x:c>
      <x:c r="Q79" s="57" t="str">
        <x:f>TEXTJOIN("; ",TRUE,IF(L79="Duplicate Risk","Duplicate risk",""),IF(M79="Missing PO","Missing PO",""),IF(N79="Review Tax","Tax variance",""),IF(O79&gt;0,"Overdue",""),IF(K79&lt;&gt;"Approved","Approval issue",""))</x:f>
        <x:v>Overdue</x:v>
      </x:c>
    </x:row>
    <x:row r="80">
      <x:c r="A80" s="55" t="str">
        <x:v>AP-0079</x:v>
      </x:c>
      <x:c r="B80" s="56" t="str">
        <x:v>Vendor 16</x:v>
      </x:c>
      <x:c r="C80" s="56" t="str">
        <x:v>INV-24900</x:v>
      </x:c>
      <x:c r="D80" s="56" t="str">
        <x:v>PO-1007</x:v>
      </x:c>
      <x:c r="E80" s="76" t="n">
        <x:v>46183</x:v>
      </x:c>
      <x:c r="F80" s="76" t="n">
        <x:v>46228</x:v>
      </x:c>
      <x:c r="G80" s="80" t="n">
        <x:v>1292.66</x:v>
      </x:c>
      <x:c r="H80" s="80" t="n">
        <x:v>164.16</x:v>
      </x:c>
      <x:c r="I80" s="80" t="n">
        <x:f>G80+H80</x:f>
        <x:v>1456.8200000000002</x:v>
      </x:c>
      <x:c r="J80" s="56" t="str">
        <x:v>Paid</x:v>
      </x:c>
      <x:c r="K80" s="56" t="str">
        <x:v>Rejected</x:v>
      </x:c>
      <x:c r="L80" s="56" t="str">
        <x:f>IF(COUNTIFS($B$2:$B$151,B80,$C$2:$C$151,C80,$I$2:$I$151,I80)&gt;1,"Duplicate Risk","OK")</x:f>
        <x:v>OK</x:v>
      </x:c>
      <x:c r="M80" s="56" t="str">
        <x:f>IF(D80="","Missing PO","Matched")</x:f>
        <x:v>Matched</x:v>
      </x:c>
      <x:c r="N80" s="56" t="str">
        <x:f>IF(ABS(H80-G80*0.13)&lt;=1,"OK","Review Tax")</x:f>
        <x:v>Review Tax</x:v>
      </x:c>
      <x:c r="O80" s="122" t="n">
        <x:f>IF(J80="Paid",0,MAX(0,TODAY()-F80))</x:f>
        <x:v>0</x:v>
      </x:c>
      <x:c r="P80" s="56" t="str">
        <x:f>IF(OR(L80="Duplicate Risk",M80="Missing PO",N80="Review Tax",O80&gt;30,K80&lt;&gt;"Approved"),"High","Low")</x:f>
        <x:v>High</x:v>
      </x:c>
      <x:c r="Q80" s="57" t="str">
        <x:f>TEXTJOIN("; ",TRUE,IF(L80="Duplicate Risk","Duplicate risk",""),IF(M80="Missing PO","Missing PO",""),IF(N80="Review Tax","Tax variance",""),IF(O80&gt;0,"Overdue",""),IF(K80&lt;&gt;"Approved","Approval issue",""))</x:f>
        <x:v>Tax variance; Approval issue</x:v>
      </x:c>
    </x:row>
    <x:row r="81">
      <x:c r="A81" s="55" t="str">
        <x:v>AP-0080</x:v>
      </x:c>
      <x:c r="B81" s="56" t="str">
        <x:v>Vendor 29</x:v>
      </x:c>
      <x:c r="C81" s="56" t="str">
        <x:v>INV-48597</x:v>
      </x:c>
      <x:c r="D81" s="56" t="str"/>
      <x:c r="E81" s="76" t="n">
        <x:v>46170</x:v>
      </x:c>
      <x:c r="F81" s="76" t="n">
        <x:v>46185</x:v>
      </x:c>
      <x:c r="G81" s="80" t="n">
        <x:v>1887.32</x:v>
      </x:c>
      <x:c r="H81" s="80" t="n">
        <x:v>238.19</x:v>
      </x:c>
      <x:c r="I81" s="80" t="n">
        <x:f>G81+H81</x:f>
        <x:v>2125.5099999999998</x:v>
      </x:c>
      <x:c r="J81" s="56" t="str">
        <x:v>Paid</x:v>
      </x:c>
      <x:c r="K81" s="56" t="str">
        <x:v>Rejected</x:v>
      </x:c>
      <x:c r="L81" s="56" t="str">
        <x:f>IF(COUNTIFS($B$2:$B$151,B81,$C$2:$C$151,C81,$I$2:$I$151,I81)&gt;1,"Duplicate Risk","OK")</x:f>
        <x:v>OK</x:v>
      </x:c>
      <x:c r="M81" s="56" t="str">
        <x:f>IF(D81="","Missing PO","Matched")</x:f>
        <x:v>Missing PO</x:v>
      </x:c>
      <x:c r="N81" s="56" t="str">
        <x:f>IF(ABS(H81-G81*0.13)&lt;=1,"OK","Review Tax")</x:f>
        <x:v>Review Tax</x:v>
      </x:c>
      <x:c r="O81" s="122" t="n">
        <x:f>IF(J81="Paid",0,MAX(0,TODAY()-F81))</x:f>
        <x:v>0</x:v>
      </x:c>
      <x:c r="P81" s="56" t="str">
        <x:f>IF(OR(L81="Duplicate Risk",M81="Missing PO",N81="Review Tax",O81&gt;30,K81&lt;&gt;"Approved"),"High","Low")</x:f>
        <x:v>High</x:v>
      </x:c>
      <x:c r="Q81" s="57" t="str">
        <x:f>TEXTJOIN("; ",TRUE,IF(L81="Duplicate Risk","Duplicate risk",""),IF(M81="Missing PO","Missing PO",""),IF(N81="Review Tax","Tax variance",""),IF(O81&gt;0,"Overdue",""),IF(K81&lt;&gt;"Approved","Approval issue",""))</x:f>
        <x:v>Missing PO; Tax variance; Approval issue</x:v>
      </x:c>
    </x:row>
    <x:row r="82">
      <x:c r="A82" s="55" t="str">
        <x:v>AP-0081</x:v>
      </x:c>
      <x:c r="B82" s="56" t="str">
        <x:v>Vendor 13</x:v>
      </x:c>
      <x:c r="C82" s="56" t="str">
        <x:v>INV-20827</x:v>
      </x:c>
      <x:c r="D82" s="56" t="str"/>
      <x:c r="E82" s="76" t="n">
        <x:v>46149</x:v>
      </x:c>
      <x:c r="F82" s="76" t="n">
        <x:v>46179</x:v>
      </x:c>
      <x:c r="G82" s="80" t="n">
        <x:v>6454.6</x:v>
      </x:c>
      <x:c r="H82" s="80" t="n">
        <x:v>839.1</x:v>
      </x:c>
      <x:c r="I82" s="80" t="n">
        <x:f>G82+H82</x:f>
        <x:v>7293.700000000001</x:v>
      </x:c>
      <x:c r="J82" s="56" t="str">
        <x:v>Paid</x:v>
      </x:c>
      <x:c r="K82" s="56" t="str">
        <x:v>Rejected</x:v>
      </x:c>
      <x:c r="L82" s="56" t="str">
        <x:f>IF(COUNTIFS($B$2:$B$151,B82,$C$2:$C$151,C82,$I$2:$I$151,I82)&gt;1,"Duplicate Risk","OK")</x:f>
        <x:v>OK</x:v>
      </x:c>
      <x:c r="M82" s="56" t="str">
        <x:f>IF(D82="","Missing PO","Matched")</x:f>
        <x:v>Missing PO</x:v>
      </x:c>
      <x:c r="N82" s="56" t="str">
        <x:f>IF(ABS(H82-G82*0.13)&lt;=1,"OK","Review Tax")</x:f>
        <x:v>OK</x:v>
      </x:c>
      <x:c r="O82" s="122" t="n">
        <x:f>IF(J82="Paid",0,MAX(0,TODAY()-F82))</x:f>
        <x:v>0</x:v>
      </x:c>
      <x:c r="P82" s="56" t="str">
        <x:f>IF(OR(L82="Duplicate Risk",M82="Missing PO",N82="Review Tax",O82&gt;30,K82&lt;&gt;"Approved"),"High","Low")</x:f>
        <x:v>High</x:v>
      </x:c>
      <x:c r="Q82" s="57" t="str">
        <x:f>TEXTJOIN("; ",TRUE,IF(L82="Duplicate Risk","Duplicate risk",""),IF(M82="Missing PO","Missing PO",""),IF(N82="Review Tax","Tax variance",""),IF(O82&gt;0,"Overdue",""),IF(K82&lt;&gt;"Approved","Approval issue",""))</x:f>
        <x:v>Missing PO; Approval issue</x:v>
      </x:c>
    </x:row>
    <x:row r="83">
      <x:c r="A83" s="55" t="str">
        <x:v>AP-0082</x:v>
      </x:c>
      <x:c r="B83" s="56" t="str">
        <x:v>Vendor 3</x:v>
      </x:c>
      <x:c r="C83" s="56" t="str">
        <x:v>INV-33795</x:v>
      </x:c>
      <x:c r="D83" s="56" t="str"/>
      <x:c r="E83" s="76" t="n">
        <x:v>46151</x:v>
      </x:c>
      <x:c r="F83" s="76" t="n">
        <x:v>46181</x:v>
      </x:c>
      <x:c r="G83" s="80" t="n">
        <x:v>11934.24</x:v>
      </x:c>
      <x:c r="H83" s="80" t="n">
        <x:v>1552.93</x:v>
      </x:c>
      <x:c r="I83" s="80" t="n">
        <x:f>G83+H83</x:f>
        <x:v>13487.17</x:v>
      </x:c>
      <x:c r="J83" s="56" t="str">
        <x:v>Unpaid</x:v>
      </x:c>
      <x:c r="K83" s="56" t="str">
        <x:v>Approved</x:v>
      </x:c>
      <x:c r="L83" s="56" t="str">
        <x:f>IF(COUNTIFS($B$2:$B$151,B83,$C$2:$C$151,C83,$I$2:$I$151,I83)&gt;1,"Duplicate Risk","OK")</x:f>
        <x:v>OK</x:v>
      </x:c>
      <x:c r="M83" s="56" t="str">
        <x:f>IF(D83="","Missing PO","Matched")</x:f>
        <x:v>Missing PO</x:v>
      </x:c>
      <x:c r="N83" s="56" t="str">
        <x:f>IF(ABS(H83-G83*0.13)&lt;=1,"OK","Review Tax")</x:f>
        <x:v>Review Tax</x:v>
      </x:c>
      <x:c r="O83" s="122" t="n">
        <x:f>IF(J83="Paid",0,MAX(0,TODAY()-F83))</x:f>
        <x:v>51</x:v>
      </x:c>
      <x:c r="P83" s="56" t="str">
        <x:f>IF(OR(L83="Duplicate Risk",M83="Missing PO",N83="Review Tax",O83&gt;30,K83&lt;&gt;"Approved"),"High","Low")</x:f>
        <x:v>High</x:v>
      </x:c>
      <x:c r="Q83" s="57" t="str">
        <x:f>TEXTJOIN("; ",TRUE,IF(L83="Duplicate Risk","Duplicate risk",""),IF(M83="Missing PO","Missing PO",""),IF(N83="Review Tax","Tax variance",""),IF(O83&gt;0,"Overdue",""),IF(K83&lt;&gt;"Approved","Approval issue",""))</x:f>
        <x:v>Missing PO; Tax variance; Overdue</x:v>
      </x:c>
    </x:row>
    <x:row r="84">
      <x:c r="A84" s="55" t="str">
        <x:v>AP-0083</x:v>
      </x:c>
      <x:c r="B84" s="56" t="str">
        <x:v>Vendor 25</x:v>
      </x:c>
      <x:c r="C84" s="56" t="str">
        <x:v>INV-40984</x:v>
      </x:c>
      <x:c r="D84" s="56" t="str">
        <x:v>PO-1086</x:v>
      </x:c>
      <x:c r="E84" s="76" t="n">
        <x:v>46184</x:v>
      </x:c>
      <x:c r="F84" s="76" t="n">
        <x:v>46229</x:v>
      </x:c>
      <x:c r="G84" s="80" t="n">
        <x:v>9509.59</x:v>
      </x:c>
      <x:c r="H84" s="80" t="n">
        <x:v>1228.89</x:v>
      </x:c>
      <x:c r="I84" s="80" t="n">
        <x:f>G84+H84</x:f>
        <x:v>10738.48</x:v>
      </x:c>
      <x:c r="J84" s="56" t="str">
        <x:v>Paid</x:v>
      </x:c>
      <x:c r="K84" s="56" t="str">
        <x:v>Rejected</x:v>
      </x:c>
      <x:c r="L84" s="56" t="str">
        <x:f>IF(COUNTIFS($B$2:$B$151,B84,$C$2:$C$151,C84,$I$2:$I$151,I84)&gt;1,"Duplicate Risk","OK")</x:f>
        <x:v>OK</x:v>
      </x:c>
      <x:c r="M84" s="56" t="str">
        <x:f>IF(D84="","Missing PO","Matched")</x:f>
        <x:v>Matched</x:v>
      </x:c>
      <x:c r="N84" s="56" t="str">
        <x:f>IF(ABS(H84-G84*0.13)&lt;=1,"OK","Review Tax")</x:f>
        <x:v>Review Tax</x:v>
      </x:c>
      <x:c r="O84" s="122" t="n">
        <x:f>IF(J84="Paid",0,MAX(0,TODAY()-F84))</x:f>
        <x:v>0</x:v>
      </x:c>
      <x:c r="P84" s="56" t="str">
        <x:f>IF(OR(L84="Duplicate Risk",M84="Missing PO",N84="Review Tax",O84&gt;30,K84&lt;&gt;"Approved"),"High","Low")</x:f>
        <x:v>High</x:v>
      </x:c>
      <x:c r="Q84" s="57" t="str">
        <x:f>TEXTJOIN("; ",TRUE,IF(L84="Duplicate Risk","Duplicate risk",""),IF(M84="Missing PO","Missing PO",""),IF(N84="Review Tax","Tax variance",""),IF(O84&gt;0,"Overdue",""),IF(K84&lt;&gt;"Approved","Approval issue",""))</x:f>
        <x:v>Tax variance; Approval issue</x:v>
      </x:c>
    </x:row>
    <x:row r="85">
      <x:c r="A85" s="55" t="str">
        <x:v>AP-0084</x:v>
      </x:c>
      <x:c r="B85" s="56" t="str">
        <x:v>Vendor 12</x:v>
      </x:c>
      <x:c r="C85" s="56" t="str">
        <x:v>INV-23170</x:v>
      </x:c>
      <x:c r="D85" s="56" t="str">
        <x:v>PO-1021</x:v>
      </x:c>
      <x:c r="E85" s="76" t="n">
        <x:v>46190</x:v>
      </x:c>
      <x:c r="F85" s="76" t="n">
        <x:v>46205</x:v>
      </x:c>
      <x:c r="G85" s="80" t="n">
        <x:v>2037.94</x:v>
      </x:c>
      <x:c r="H85" s="80" t="n">
        <x:v>264.93</x:v>
      </x:c>
      <x:c r="I85" s="80" t="n">
        <x:f>G85+H85</x:f>
        <x:v>2302.87</x:v>
      </x:c>
      <x:c r="J85" s="56" t="str">
        <x:v>Paid</x:v>
      </x:c>
      <x:c r="K85" s="56" t="str">
        <x:v>Rejected</x:v>
      </x:c>
      <x:c r="L85" s="56" t="str">
        <x:f>IF(COUNTIFS($B$2:$B$151,B85,$C$2:$C$151,C85,$I$2:$I$151,I85)&gt;1,"Duplicate Risk","OK")</x:f>
        <x:v>OK</x:v>
      </x:c>
      <x:c r="M85" s="56" t="str">
        <x:f>IF(D85="","Missing PO","Matched")</x:f>
        <x:v>Matched</x:v>
      </x:c>
      <x:c r="N85" s="56" t="str">
        <x:f>IF(ABS(H85-G85*0.13)&lt;=1,"OK","Review Tax")</x:f>
        <x:v>OK</x:v>
      </x:c>
      <x:c r="O85" s="122" t="n">
        <x:f>IF(J85="Paid",0,MAX(0,TODAY()-F85))</x:f>
        <x:v>0</x:v>
      </x:c>
      <x:c r="P85" s="56" t="str">
        <x:f>IF(OR(L85="Duplicate Risk",M85="Missing PO",N85="Review Tax",O85&gt;30,K85&lt;&gt;"Approved"),"High","Low")</x:f>
        <x:v>High</x:v>
      </x:c>
      <x:c r="Q85" s="57" t="str">
        <x:f>TEXTJOIN("; ",TRUE,IF(L85="Duplicate Risk","Duplicate risk",""),IF(M85="Missing PO","Missing PO",""),IF(N85="Review Tax","Tax variance",""),IF(O85&gt;0,"Overdue",""),IF(K85&lt;&gt;"Approved","Approval issue",""))</x:f>
        <x:v>Approval issue</x:v>
      </x:c>
    </x:row>
    <x:row r="86">
      <x:c r="A86" s="55" t="str">
        <x:v>AP-0085</x:v>
      </x:c>
      <x:c r="B86" s="56" t="str">
        <x:v>Vendor 14</x:v>
      </x:c>
      <x:c r="C86" s="56" t="str">
        <x:v>INV-32383</x:v>
      </x:c>
      <x:c r="D86" s="56" t="str"/>
      <x:c r="E86" s="76" t="n">
        <x:v>46167</x:v>
      </x:c>
      <x:c r="F86" s="76" t="n">
        <x:v>46212</x:v>
      </x:c>
      <x:c r="G86" s="80" t="n">
        <x:v>953.59</x:v>
      </x:c>
      <x:c r="H86" s="80" t="n">
        <x:v>123.97</x:v>
      </x:c>
      <x:c r="I86" s="80" t="n">
        <x:f>G86+H86</x:f>
        <x:v>1077.56</x:v>
      </x:c>
      <x:c r="J86" s="56" t="str">
        <x:v>Paid</x:v>
      </x:c>
      <x:c r="K86" s="56" t="str">
        <x:v>Approved</x:v>
      </x:c>
      <x:c r="L86" s="56" t="str">
        <x:f>IF(COUNTIFS($B$2:$B$151,B86,$C$2:$C$151,C86,$I$2:$I$151,I86)&gt;1,"Duplicate Risk","OK")</x:f>
        <x:v>OK</x:v>
      </x:c>
      <x:c r="M86" s="56" t="str">
        <x:f>IF(D86="","Missing PO","Matched")</x:f>
        <x:v>Missing PO</x:v>
      </x:c>
      <x:c r="N86" s="56" t="str">
        <x:f>IF(ABS(H86-G86*0.13)&lt;=1,"OK","Review Tax")</x:f>
        <x:v>OK</x:v>
      </x:c>
      <x:c r="O86" s="122" t="n">
        <x:f>IF(J86="Paid",0,MAX(0,TODAY()-F86))</x:f>
        <x:v>0</x:v>
      </x:c>
      <x:c r="P86" s="56" t="str">
        <x:f>IF(OR(L86="Duplicate Risk",M86="Missing PO",N86="Review Tax",O86&gt;30,K86&lt;&gt;"Approved"),"High","Low")</x:f>
        <x:v>High</x:v>
      </x:c>
      <x:c r="Q86" s="57" t="str">
        <x:f>TEXTJOIN("; ",TRUE,IF(L86="Duplicate Risk","Duplicate risk",""),IF(M86="Missing PO","Missing PO",""),IF(N86="Review Tax","Tax variance",""),IF(O86&gt;0,"Overdue",""),IF(K86&lt;&gt;"Approved","Approval issue",""))</x:f>
        <x:v>Missing PO</x:v>
      </x:c>
    </x:row>
    <x:row r="87">
      <x:c r="A87" s="55" t="str">
        <x:v>AP-0086</x:v>
      </x:c>
      <x:c r="B87" s="56" t="str">
        <x:v>Vendor 12</x:v>
      </x:c>
      <x:c r="C87" s="56" t="str">
        <x:v>INV-40054</x:v>
      </x:c>
      <x:c r="D87" s="56" t="str"/>
      <x:c r="E87" s="76" t="n">
        <x:v>46181</x:v>
      </x:c>
      <x:c r="F87" s="76" t="n">
        <x:v>46196</x:v>
      </x:c>
      <x:c r="G87" s="80" t="n">
        <x:v>4987.32</x:v>
      </x:c>
      <x:c r="H87" s="80" t="n">
        <x:v>648.35</x:v>
      </x:c>
      <x:c r="I87" s="80" t="n">
        <x:f>G87+H87</x:f>
        <x:v>5635.67</x:v>
      </x:c>
      <x:c r="J87" s="56" t="str">
        <x:v>Unpaid</x:v>
      </x:c>
      <x:c r="K87" s="56" t="str">
        <x:v>Approved</x:v>
      </x:c>
      <x:c r="L87" s="56" t="str">
        <x:f>IF(COUNTIFS($B$2:$B$151,B87,$C$2:$C$151,C87,$I$2:$I$151,I87)&gt;1,"Duplicate Risk","OK")</x:f>
        <x:v>OK</x:v>
      </x:c>
      <x:c r="M87" s="56" t="str">
        <x:f>IF(D87="","Missing PO","Matched")</x:f>
        <x:v>Missing PO</x:v>
      </x:c>
      <x:c r="N87" s="56" t="str">
        <x:f>IF(ABS(H87-G87*0.13)&lt;=1,"OK","Review Tax")</x:f>
        <x:v>OK</x:v>
      </x:c>
      <x:c r="O87" s="122" t="n">
        <x:f>IF(J87="Paid",0,MAX(0,TODAY()-F87))</x:f>
        <x:v>36</x:v>
      </x:c>
      <x:c r="P87" s="56" t="str">
        <x:f>IF(OR(L87="Duplicate Risk",M87="Missing PO",N87="Review Tax",O87&gt;30,K87&lt;&gt;"Approved"),"High","Low")</x:f>
        <x:v>High</x:v>
      </x:c>
      <x:c r="Q87" s="57" t="str">
        <x:f>TEXTJOIN("; ",TRUE,IF(L87="Duplicate Risk","Duplicate risk",""),IF(M87="Missing PO","Missing PO",""),IF(N87="Review Tax","Tax variance",""),IF(O87&gt;0,"Overdue",""),IF(K87&lt;&gt;"Approved","Approval issue",""))</x:f>
        <x:v>Missing PO; Overdue</x:v>
      </x:c>
    </x:row>
    <x:row r="88">
      <x:c r="A88" s="55" t="str">
        <x:v>AP-0087</x:v>
      </x:c>
      <x:c r="B88" s="56" t="str">
        <x:v>Vendor 10</x:v>
      </x:c>
      <x:c r="C88" s="56" t="str">
        <x:v>INV-47901</x:v>
      </x:c>
      <x:c r="D88" s="56" t="str">
        <x:v>PO-1043</x:v>
      </x:c>
      <x:c r="E88" s="76" t="n">
        <x:v>46172</x:v>
      </x:c>
      <x:c r="F88" s="76" t="n">
        <x:v>46187</x:v>
      </x:c>
      <x:c r="G88" s="80" t="n">
        <x:v>8453.93</x:v>
      </x:c>
      <x:c r="H88" s="80" t="n">
        <x:v>1099.01</x:v>
      </x:c>
      <x:c r="I88" s="80" t="n">
        <x:f>G88+H88</x:f>
        <x:v>9552.94</x:v>
      </x:c>
      <x:c r="J88" s="56" t="str">
        <x:v>Unpaid</x:v>
      </x:c>
      <x:c r="K88" s="56" t="str">
        <x:v>Pending</x:v>
      </x:c>
      <x:c r="L88" s="56" t="str">
        <x:f>IF(COUNTIFS($B$2:$B$151,B88,$C$2:$C$151,C88,$I$2:$I$151,I88)&gt;1,"Duplicate Risk","OK")</x:f>
        <x:v>OK</x:v>
      </x:c>
      <x:c r="M88" s="56" t="str">
        <x:f>IF(D88="","Missing PO","Matched")</x:f>
        <x:v>Matched</x:v>
      </x:c>
      <x:c r="N88" s="56" t="str">
        <x:f>IF(ABS(H88-G88*0.13)&lt;=1,"OK","Review Tax")</x:f>
        <x:v>OK</x:v>
      </x:c>
      <x:c r="O88" s="122" t="n">
        <x:f>IF(J88="Paid",0,MAX(0,TODAY()-F88))</x:f>
        <x:v>45</x:v>
      </x:c>
      <x:c r="P88" s="56" t="str">
        <x:f>IF(OR(L88="Duplicate Risk",M88="Missing PO",N88="Review Tax",O88&gt;30,K88&lt;&gt;"Approved"),"High","Low")</x:f>
        <x:v>High</x:v>
      </x:c>
      <x:c r="Q88" s="57" t="str">
        <x:f>TEXTJOIN("; ",TRUE,IF(L88="Duplicate Risk","Duplicate risk",""),IF(M88="Missing PO","Missing PO",""),IF(N88="Review Tax","Tax variance",""),IF(O88&gt;0,"Overdue",""),IF(K88&lt;&gt;"Approved","Approval issue",""))</x:f>
        <x:v>Overdue; Approval issue</x:v>
      </x:c>
    </x:row>
    <x:row r="89">
      <x:c r="A89" s="55" t="str">
        <x:v>AP-0088</x:v>
      </x:c>
      <x:c r="B89" s="56" t="str">
        <x:v>Vendor 3</x:v>
      </x:c>
      <x:c r="C89" s="56" t="str">
        <x:v>INV-26095</x:v>
      </x:c>
      <x:c r="D89" s="56" t="str">
        <x:v>PO-1069</x:v>
      </x:c>
      <x:c r="E89" s="76" t="n">
        <x:v>46182</x:v>
      </x:c>
      <x:c r="F89" s="76" t="n">
        <x:v>46212</x:v>
      </x:c>
      <x:c r="G89" s="80" t="n">
        <x:v>7595.97</x:v>
      </x:c>
      <x:c r="H89" s="80" t="n">
        <x:v>987.48</x:v>
      </x:c>
      <x:c r="I89" s="80" t="n">
        <x:f>G89+H89</x:f>
        <x:v>8583.45</x:v>
      </x:c>
      <x:c r="J89" s="56" t="str">
        <x:v>Unpaid</x:v>
      </x:c>
      <x:c r="K89" s="56" t="str">
        <x:v>Rejected</x:v>
      </x:c>
      <x:c r="L89" s="56" t="str">
        <x:f>IF(COUNTIFS($B$2:$B$151,B89,$C$2:$C$151,C89,$I$2:$I$151,I89)&gt;1,"Duplicate Risk","OK")</x:f>
        <x:v>OK</x:v>
      </x:c>
      <x:c r="M89" s="56" t="str">
        <x:f>IF(D89="","Missing PO","Matched")</x:f>
        <x:v>Matched</x:v>
      </x:c>
      <x:c r="N89" s="56" t="str">
        <x:f>IF(ABS(H89-G89*0.13)&lt;=1,"OK","Review Tax")</x:f>
        <x:v>OK</x:v>
      </x:c>
      <x:c r="O89" s="122" t="n">
        <x:f>IF(J89="Paid",0,MAX(0,TODAY()-F89))</x:f>
        <x:v>20</x:v>
      </x:c>
      <x:c r="P89" s="56" t="str">
        <x:f>IF(OR(L89="Duplicate Risk",M89="Missing PO",N89="Review Tax",O89&gt;30,K89&lt;&gt;"Approved"),"High","Low")</x:f>
        <x:v>High</x:v>
      </x:c>
      <x:c r="Q89" s="57" t="str">
        <x:f>TEXTJOIN("; ",TRUE,IF(L89="Duplicate Risk","Duplicate risk",""),IF(M89="Missing PO","Missing PO",""),IF(N89="Review Tax","Tax variance",""),IF(O89&gt;0,"Overdue",""),IF(K89&lt;&gt;"Approved","Approval issue",""))</x:f>
        <x:v>Overdue; Approval issue</x:v>
      </x:c>
    </x:row>
    <x:row r="90">
      <x:c r="A90" s="55" t="str">
        <x:v>AP-0089</x:v>
      </x:c>
      <x:c r="B90" s="56" t="str">
        <x:v>Vendor 29</x:v>
      </x:c>
      <x:c r="C90" s="56" t="str">
        <x:v>INV-49947</x:v>
      </x:c>
      <x:c r="D90" s="56" t="str">
        <x:v>PO-1053</x:v>
      </x:c>
      <x:c r="E90" s="76" t="n">
        <x:v>46145</x:v>
      </x:c>
      <x:c r="F90" s="76" t="n">
        <x:v>46175</x:v>
      </x:c>
      <x:c r="G90" s="80" t="n">
        <x:v>1904.99</x:v>
      </x:c>
      <x:c r="H90" s="80" t="n">
        <x:v>250.8</x:v>
      </x:c>
      <x:c r="I90" s="80" t="n">
        <x:f>G90+H90</x:f>
        <x:v>2155.79</x:v>
      </x:c>
      <x:c r="J90" s="56" t="str">
        <x:v>Paid</x:v>
      </x:c>
      <x:c r="K90" s="56" t="str">
        <x:v>Rejected</x:v>
      </x:c>
      <x:c r="L90" s="56" t="str">
        <x:f>IF(COUNTIFS($B$2:$B$151,B90,$C$2:$C$151,C90,$I$2:$I$151,I90)&gt;1,"Duplicate Risk","OK")</x:f>
        <x:v>OK</x:v>
      </x:c>
      <x:c r="M90" s="56" t="str">
        <x:f>IF(D90="","Missing PO","Matched")</x:f>
        <x:v>Matched</x:v>
      </x:c>
      <x:c r="N90" s="56" t="str">
        <x:f>IF(ABS(H90-G90*0.13)&lt;=1,"OK","Review Tax")</x:f>
        <x:v>Review Tax</x:v>
      </x:c>
      <x:c r="O90" s="122" t="n">
        <x:f>IF(J90="Paid",0,MAX(0,TODAY()-F90))</x:f>
        <x:v>0</x:v>
      </x:c>
      <x:c r="P90" s="56" t="str">
        <x:f>IF(OR(L90="Duplicate Risk",M90="Missing PO",N90="Review Tax",O90&gt;30,K90&lt;&gt;"Approved"),"High","Low")</x:f>
        <x:v>High</x:v>
      </x:c>
      <x:c r="Q90" s="57" t="str">
        <x:f>TEXTJOIN("; ",TRUE,IF(L90="Duplicate Risk","Duplicate risk",""),IF(M90="Missing PO","Missing PO",""),IF(N90="Review Tax","Tax variance",""),IF(O90&gt;0,"Overdue",""),IF(K90&lt;&gt;"Approved","Approval issue",""))</x:f>
        <x:v>Tax variance; Approval issue</x:v>
      </x:c>
    </x:row>
    <x:row r="91">
      <x:c r="A91" s="55" t="str">
        <x:v>AP-0090</x:v>
      </x:c>
      <x:c r="B91" s="56" t="str">
        <x:v>Vendor 17</x:v>
      </x:c>
      <x:c r="C91" s="56" t="str">
        <x:v>INV-38720</x:v>
      </x:c>
      <x:c r="D91" s="56" t="str">
        <x:v>PO-1027</x:v>
      </x:c>
      <x:c r="E91" s="76" t="n">
        <x:v>46183</x:v>
      </x:c>
      <x:c r="F91" s="76" t="n">
        <x:v>46228</x:v>
      </x:c>
      <x:c r="G91" s="80" t="n">
        <x:v>6600.83</x:v>
      </x:c>
      <x:c r="H91" s="80" t="n">
        <x:v>858.11</x:v>
      </x:c>
      <x:c r="I91" s="80" t="n">
        <x:f>G91+H91</x:f>
        <x:v>7458.94</x:v>
      </x:c>
      <x:c r="J91" s="56" t="str">
        <x:v>On Hold</x:v>
      </x:c>
      <x:c r="K91" s="56" t="str">
        <x:v>Pending</x:v>
      </x:c>
      <x:c r="L91" s="56" t="str">
        <x:f>IF(COUNTIFS($B$2:$B$151,B91,$C$2:$C$151,C91,$I$2:$I$151,I91)&gt;1,"Duplicate Risk","OK")</x:f>
        <x:v>OK</x:v>
      </x:c>
      <x:c r="M91" s="56" t="str">
        <x:f>IF(D91="","Missing PO","Matched")</x:f>
        <x:v>Matched</x:v>
      </x:c>
      <x:c r="N91" s="56" t="str">
        <x:f>IF(ABS(H91-G91*0.13)&lt;=1,"OK","Review Tax")</x:f>
        <x:v>OK</x:v>
      </x:c>
      <x:c r="O91" s="122" t="n">
        <x:f>IF(J91="Paid",0,MAX(0,TODAY()-F91))</x:f>
        <x:v>4</x:v>
      </x:c>
      <x:c r="P91" s="56" t="str">
        <x:f>IF(OR(L91="Duplicate Risk",M91="Missing PO",N91="Review Tax",O91&gt;30,K91&lt;&gt;"Approved"),"High","Low")</x:f>
        <x:v>High</x:v>
      </x:c>
      <x:c r="Q91" s="57" t="str">
        <x:f>TEXTJOIN("; ",TRUE,IF(L91="Duplicate Risk","Duplicate risk",""),IF(M91="Missing PO","Missing PO",""),IF(N91="Review Tax","Tax variance",""),IF(O91&gt;0,"Overdue",""),IF(K91&lt;&gt;"Approved","Approval issue",""))</x:f>
        <x:v>Overdue; Approval issue</x:v>
      </x:c>
    </x:row>
    <x:row r="92">
      <x:c r="A92" s="55" t="str">
        <x:v>AP-0091</x:v>
      </x:c>
      <x:c r="B92" s="56" t="str">
        <x:v>Vendor 12</x:v>
      </x:c>
      <x:c r="C92" s="56" t="str">
        <x:v>INV-38290</x:v>
      </x:c>
      <x:c r="D92" s="56" t="str">
        <x:v>PO-1099</x:v>
      </x:c>
      <x:c r="E92" s="76" t="n">
        <x:v>46187</x:v>
      </x:c>
      <x:c r="F92" s="76" t="n">
        <x:v>46202</x:v>
      </x:c>
      <x:c r="G92" s="80" t="n">
        <x:v>7829.33</x:v>
      </x:c>
      <x:c r="H92" s="80" t="n">
        <x:v>1017.81</x:v>
      </x:c>
      <x:c r="I92" s="80" t="n">
        <x:f>G92+H92</x:f>
        <x:v>8847.14</x:v>
      </x:c>
      <x:c r="J92" s="56" t="str">
        <x:v>On Hold</x:v>
      </x:c>
      <x:c r="K92" s="56" t="str">
        <x:v>Rejected</x:v>
      </x:c>
      <x:c r="L92" s="56" t="str">
        <x:f>IF(COUNTIFS($B$2:$B$151,B92,$C$2:$C$151,C92,$I$2:$I$151,I92)&gt;1,"Duplicate Risk","OK")</x:f>
        <x:v>OK</x:v>
      </x:c>
      <x:c r="M92" s="56" t="str">
        <x:f>IF(D92="","Missing PO","Matched")</x:f>
        <x:v>Matched</x:v>
      </x:c>
      <x:c r="N92" s="56" t="str">
        <x:f>IF(ABS(H92-G92*0.13)&lt;=1,"OK","Review Tax")</x:f>
        <x:v>OK</x:v>
      </x:c>
      <x:c r="O92" s="122" t="n">
        <x:f>IF(J92="Paid",0,MAX(0,TODAY()-F92))</x:f>
        <x:v>30</x:v>
      </x:c>
      <x:c r="P92" s="56" t="str">
        <x:f>IF(OR(L92="Duplicate Risk",M92="Missing PO",N92="Review Tax",O92&gt;30,K92&lt;&gt;"Approved"),"High","Low")</x:f>
        <x:v>High</x:v>
      </x:c>
      <x:c r="Q92" s="57" t="str">
        <x:f>TEXTJOIN("; ",TRUE,IF(L92="Duplicate Risk","Duplicate risk",""),IF(M92="Missing PO","Missing PO",""),IF(N92="Review Tax","Tax variance",""),IF(O92&gt;0,"Overdue",""),IF(K92&lt;&gt;"Approved","Approval issue",""))</x:f>
        <x:v>Overdue; Approval issue</x:v>
      </x:c>
    </x:row>
    <x:row r="93">
      <x:c r="A93" s="55" t="str">
        <x:v>AP-0092</x:v>
      </x:c>
      <x:c r="B93" s="56" t="str">
        <x:v>Vendor 9</x:v>
      </x:c>
      <x:c r="C93" s="56" t="str">
        <x:v>INV-43341</x:v>
      </x:c>
      <x:c r="D93" s="56" t="str"/>
      <x:c r="E93" s="76" t="n">
        <x:v>46146</x:v>
      </x:c>
      <x:c r="F93" s="76" t="n">
        <x:v>46161</x:v>
      </x:c>
      <x:c r="G93" s="80" t="n">
        <x:v>1570.9</x:v>
      </x:c>
      <x:c r="H93" s="80" t="n">
        <x:v>204.22</x:v>
      </x:c>
      <x:c r="I93" s="80" t="n">
        <x:f>G93+H93</x:f>
        <x:v>1775.1200000000001</x:v>
      </x:c>
      <x:c r="J93" s="56" t="str">
        <x:v>Paid</x:v>
      </x:c>
      <x:c r="K93" s="56" t="str">
        <x:v>Approved</x:v>
      </x:c>
      <x:c r="L93" s="56" t="str">
        <x:f>IF(COUNTIFS($B$2:$B$151,B93,$C$2:$C$151,C93,$I$2:$I$151,I93)&gt;1,"Duplicate Risk","OK")</x:f>
        <x:v>OK</x:v>
      </x:c>
      <x:c r="M93" s="56" t="str">
        <x:f>IF(D93="","Missing PO","Matched")</x:f>
        <x:v>Missing PO</x:v>
      </x:c>
      <x:c r="N93" s="56" t="str">
        <x:f>IF(ABS(H93-G93*0.13)&lt;=1,"OK","Review Tax")</x:f>
        <x:v>OK</x:v>
      </x:c>
      <x:c r="O93" s="122" t="n">
        <x:f>IF(J93="Paid",0,MAX(0,TODAY()-F93))</x:f>
        <x:v>0</x:v>
      </x:c>
      <x:c r="P93" s="56" t="str">
        <x:f>IF(OR(L93="Duplicate Risk",M93="Missing PO",N93="Review Tax",O93&gt;30,K93&lt;&gt;"Approved"),"High","Low")</x:f>
        <x:v>High</x:v>
      </x:c>
      <x:c r="Q93" s="57" t="str">
        <x:f>TEXTJOIN("; ",TRUE,IF(L93="Duplicate Risk","Duplicate risk",""),IF(M93="Missing PO","Missing PO",""),IF(N93="Review Tax","Tax variance",""),IF(O93&gt;0,"Overdue",""),IF(K93&lt;&gt;"Approved","Approval issue",""))</x:f>
        <x:v>Missing PO</x:v>
      </x:c>
    </x:row>
    <x:row r="94">
      <x:c r="A94" s="55" t="str">
        <x:v>AP-0093</x:v>
      </x:c>
      <x:c r="B94" s="56" t="str">
        <x:v>Vendor 1</x:v>
      </x:c>
      <x:c r="C94" s="56" t="str">
        <x:v>INV-37728</x:v>
      </x:c>
      <x:c r="D94" s="56" t="str">
        <x:v>PO-1073</x:v>
      </x:c>
      <x:c r="E94" s="76" t="n">
        <x:v>46146</x:v>
      </x:c>
      <x:c r="F94" s="76" t="n">
        <x:v>46191</x:v>
      </x:c>
      <x:c r="G94" s="80" t="n">
        <x:v>9031.05</x:v>
      </x:c>
      <x:c r="H94" s="80" t="n">
        <x:v>1174.04</x:v>
      </x:c>
      <x:c r="I94" s="80" t="n">
        <x:f>G94+H94</x:f>
        <x:v>10205.09</x:v>
      </x:c>
      <x:c r="J94" s="56" t="str">
        <x:v>Unpaid</x:v>
      </x:c>
      <x:c r="K94" s="56" t="str">
        <x:v>Pending</x:v>
      </x:c>
      <x:c r="L94" s="56" t="str">
        <x:f>IF(COUNTIFS($B$2:$B$151,B94,$C$2:$C$151,C94,$I$2:$I$151,I94)&gt;1,"Duplicate Risk","OK")</x:f>
        <x:v>OK</x:v>
      </x:c>
      <x:c r="M94" s="56" t="str">
        <x:f>IF(D94="","Missing PO","Matched")</x:f>
        <x:v>Matched</x:v>
      </x:c>
      <x:c r="N94" s="56" t="str">
        <x:f>IF(ABS(H94-G94*0.13)&lt;=1,"OK","Review Tax")</x:f>
        <x:v>OK</x:v>
      </x:c>
      <x:c r="O94" s="122" t="n">
        <x:f>IF(J94="Paid",0,MAX(0,TODAY()-F94))</x:f>
        <x:v>41</x:v>
      </x:c>
      <x:c r="P94" s="56" t="str">
        <x:f>IF(OR(L94="Duplicate Risk",M94="Missing PO",N94="Review Tax",O94&gt;30,K94&lt;&gt;"Approved"),"High","Low")</x:f>
        <x:v>High</x:v>
      </x:c>
      <x:c r="Q94" s="57" t="str">
        <x:f>TEXTJOIN("; ",TRUE,IF(L94="Duplicate Risk","Duplicate risk",""),IF(M94="Missing PO","Missing PO",""),IF(N94="Review Tax","Tax variance",""),IF(O94&gt;0,"Overdue",""),IF(K94&lt;&gt;"Approved","Approval issue",""))</x:f>
        <x:v>Overdue; Approval issue</x:v>
      </x:c>
    </x:row>
    <x:row r="95">
      <x:c r="A95" s="55" t="str">
        <x:v>AP-0094</x:v>
      </x:c>
      <x:c r="B95" s="56" t="str">
        <x:v>Vendor 5</x:v>
      </x:c>
      <x:c r="C95" s="56" t="str">
        <x:v>INV-26645</x:v>
      </x:c>
      <x:c r="D95" s="56" t="str">
        <x:v>PO-1005</x:v>
      </x:c>
      <x:c r="E95" s="76" t="n">
        <x:v>46175</x:v>
      </x:c>
      <x:c r="F95" s="76" t="n">
        <x:v>46220</x:v>
      </x:c>
      <x:c r="G95" s="80" t="n">
        <x:v>8164.58</x:v>
      </x:c>
      <x:c r="H95" s="80" t="n">
        <x:v>1061.4</x:v>
      </x:c>
      <x:c r="I95" s="80" t="n">
        <x:f>G95+H95</x:f>
        <x:v>9225.98</x:v>
      </x:c>
      <x:c r="J95" s="56" t="str">
        <x:v>On Hold</x:v>
      </x:c>
      <x:c r="K95" s="56" t="str">
        <x:v>Pending</x:v>
      </x:c>
      <x:c r="L95" s="56" t="str">
        <x:f>IF(COUNTIFS($B$2:$B$151,B95,$C$2:$C$151,C95,$I$2:$I$151,I95)&gt;1,"Duplicate Risk","OK")</x:f>
        <x:v>OK</x:v>
      </x:c>
      <x:c r="M95" s="56" t="str">
        <x:f>IF(D95="","Missing PO","Matched")</x:f>
        <x:v>Matched</x:v>
      </x:c>
      <x:c r="N95" s="56" t="str">
        <x:f>IF(ABS(H95-G95*0.13)&lt;=1,"OK","Review Tax")</x:f>
        <x:v>OK</x:v>
      </x:c>
      <x:c r="O95" s="122" t="n">
        <x:f>IF(J95="Paid",0,MAX(0,TODAY()-F95))</x:f>
        <x:v>12</x:v>
      </x:c>
      <x:c r="P95" s="56" t="str">
        <x:f>IF(OR(L95="Duplicate Risk",M95="Missing PO",N95="Review Tax",O95&gt;30,K95&lt;&gt;"Approved"),"High","Low")</x:f>
        <x:v>High</x:v>
      </x:c>
      <x:c r="Q95" s="57" t="str">
        <x:f>TEXTJOIN("; ",TRUE,IF(L95="Duplicate Risk","Duplicate risk",""),IF(M95="Missing PO","Missing PO",""),IF(N95="Review Tax","Tax variance",""),IF(O95&gt;0,"Overdue",""),IF(K95&lt;&gt;"Approved","Approval issue",""))</x:f>
        <x:v>Overdue; Approval issue</x:v>
      </x:c>
    </x:row>
    <x:row r="96">
      <x:c r="A96" s="55" t="str">
        <x:v>AP-0095</x:v>
      </x:c>
      <x:c r="B96" s="56" t="str">
        <x:v>Vendor 25</x:v>
      </x:c>
      <x:c r="C96" s="56" t="str">
        <x:v>INV-38511</x:v>
      </x:c>
      <x:c r="D96" s="56" t="str">
        <x:v>PO-1049</x:v>
      </x:c>
      <x:c r="E96" s="76" t="n">
        <x:v>46191</x:v>
      </x:c>
      <x:c r="F96" s="76" t="n">
        <x:v>46236</x:v>
      </x:c>
      <x:c r="G96" s="80" t="n">
        <x:v>3309.73</x:v>
      </x:c>
      <x:c r="H96" s="80" t="n">
        <x:v>430.26</x:v>
      </x:c>
      <x:c r="I96" s="80" t="n">
        <x:f>G96+H96</x:f>
        <x:v>3739.99</x:v>
      </x:c>
      <x:c r="J96" s="56" t="str">
        <x:v>Paid</x:v>
      </x:c>
      <x:c r="K96" s="56" t="str">
        <x:v>Rejected</x:v>
      </x:c>
      <x:c r="L96" s="56" t="str">
        <x:f>IF(COUNTIFS($B$2:$B$151,B96,$C$2:$C$151,C96,$I$2:$I$151,I96)&gt;1,"Duplicate Risk","OK")</x:f>
        <x:v>OK</x:v>
      </x:c>
      <x:c r="M96" s="56" t="str">
        <x:f>IF(D96="","Missing PO","Matched")</x:f>
        <x:v>Matched</x:v>
      </x:c>
      <x:c r="N96" s="56" t="str">
        <x:f>IF(ABS(H96-G96*0.13)&lt;=1,"OK","Review Tax")</x:f>
        <x:v>OK</x:v>
      </x:c>
      <x:c r="O96" s="122" t="n">
        <x:f>IF(J96="Paid",0,MAX(0,TODAY()-F96))</x:f>
        <x:v>0</x:v>
      </x:c>
      <x:c r="P96" s="56" t="str">
        <x:f>IF(OR(L96="Duplicate Risk",M96="Missing PO",N96="Review Tax",O96&gt;30,K96&lt;&gt;"Approved"),"High","Low")</x:f>
        <x:v>High</x:v>
      </x:c>
      <x:c r="Q96" s="57" t="str">
        <x:f>TEXTJOIN("; ",TRUE,IF(L96="Duplicate Risk","Duplicate risk",""),IF(M96="Missing PO","Missing PO",""),IF(N96="Review Tax","Tax variance",""),IF(O96&gt;0,"Overdue",""),IF(K96&lt;&gt;"Approved","Approval issue",""))</x:f>
        <x:v>Approval issue</x:v>
      </x:c>
    </x:row>
    <x:row r="97">
      <x:c r="A97" s="55" t="str">
        <x:v>AP-0096</x:v>
      </x:c>
      <x:c r="B97" s="56" t="str">
        <x:v>Vendor 17</x:v>
      </x:c>
      <x:c r="C97" s="56" t="str">
        <x:v>INV-21251</x:v>
      </x:c>
      <x:c r="D97" s="56" t="str"/>
      <x:c r="E97" s="76" t="n">
        <x:v>46169</x:v>
      </x:c>
      <x:c r="F97" s="76" t="n">
        <x:v>46184</x:v>
      </x:c>
      <x:c r="G97" s="80" t="n">
        <x:v>11086.44</x:v>
      </x:c>
      <x:c r="H97" s="80" t="n">
        <x:v>1441.24</x:v>
      </x:c>
      <x:c r="I97" s="80" t="n">
        <x:f>G97+H97</x:f>
        <x:v>12527.68</x:v>
      </x:c>
      <x:c r="J97" s="56" t="str">
        <x:v>Paid</x:v>
      </x:c>
      <x:c r="K97" s="56" t="str">
        <x:v>Approved</x:v>
      </x:c>
      <x:c r="L97" s="56" t="str">
        <x:f>IF(COUNTIFS($B$2:$B$151,B97,$C$2:$C$151,C97,$I$2:$I$151,I97)&gt;1,"Duplicate Risk","OK")</x:f>
        <x:v>OK</x:v>
      </x:c>
      <x:c r="M97" s="56" t="str">
        <x:f>IF(D97="","Missing PO","Matched")</x:f>
        <x:v>Missing PO</x:v>
      </x:c>
      <x:c r="N97" s="56" t="str">
        <x:f>IF(ABS(H97-G97*0.13)&lt;=1,"OK","Review Tax")</x:f>
        <x:v>OK</x:v>
      </x:c>
      <x:c r="O97" s="122" t="n">
        <x:f>IF(J97="Paid",0,MAX(0,TODAY()-F97))</x:f>
        <x:v>0</x:v>
      </x:c>
      <x:c r="P97" s="56" t="str">
        <x:f>IF(OR(L97="Duplicate Risk",M97="Missing PO",N97="Review Tax",O97&gt;30,K97&lt;&gt;"Approved"),"High","Low")</x:f>
        <x:v>High</x:v>
      </x:c>
      <x:c r="Q97" s="57" t="str">
        <x:f>TEXTJOIN("; ",TRUE,IF(L97="Duplicate Risk","Duplicate risk",""),IF(M97="Missing PO","Missing PO",""),IF(N97="Review Tax","Tax variance",""),IF(O97&gt;0,"Overdue",""),IF(K97&lt;&gt;"Approved","Approval issue",""))</x:f>
        <x:v>Missing PO</x:v>
      </x:c>
    </x:row>
    <x:row r="98">
      <x:c r="A98" s="55" t="str">
        <x:v>AP-0097</x:v>
      </x:c>
      <x:c r="B98" s="56" t="str">
        <x:v>Vendor 18</x:v>
      </x:c>
      <x:c r="C98" s="56" t="str">
        <x:v>INV-47748</x:v>
      </x:c>
      <x:c r="D98" s="56" t="str"/>
      <x:c r="E98" s="76" t="n">
        <x:v>46198</x:v>
      </x:c>
      <x:c r="F98" s="76" t="n">
        <x:v>46228</x:v>
      </x:c>
      <x:c r="G98" s="80" t="n">
        <x:v>7305.16</x:v>
      </x:c>
      <x:c r="H98" s="80" t="n">
        <x:v>949.67</x:v>
      </x:c>
      <x:c r="I98" s="80" t="n">
        <x:f>G98+H98</x:f>
        <x:v>8254.83</x:v>
      </x:c>
      <x:c r="J98" s="56" t="str">
        <x:v>On Hold</x:v>
      </x:c>
      <x:c r="K98" s="56" t="str">
        <x:v>Rejected</x:v>
      </x:c>
      <x:c r="L98" s="56" t="str">
        <x:f>IF(COUNTIFS($B$2:$B$151,B98,$C$2:$C$151,C98,$I$2:$I$151,I98)&gt;1,"Duplicate Risk","OK")</x:f>
        <x:v>OK</x:v>
      </x:c>
      <x:c r="M98" s="56" t="str">
        <x:f>IF(D98="","Missing PO","Matched")</x:f>
        <x:v>Missing PO</x:v>
      </x:c>
      <x:c r="N98" s="56" t="str">
        <x:f>IF(ABS(H98-G98*0.13)&lt;=1,"OK","Review Tax")</x:f>
        <x:v>OK</x:v>
      </x:c>
      <x:c r="O98" s="122" t="n">
        <x:f>IF(J98="Paid",0,MAX(0,TODAY()-F98))</x:f>
        <x:v>4</x:v>
      </x:c>
      <x:c r="P98" s="56" t="str">
        <x:f>IF(OR(L98="Duplicate Risk",M98="Missing PO",N98="Review Tax",O98&gt;30,K98&lt;&gt;"Approved"),"High","Low")</x:f>
        <x:v>High</x:v>
      </x:c>
      <x:c r="Q98" s="57" t="str">
        <x:f>TEXTJOIN("; ",TRUE,IF(L98="Duplicate Risk","Duplicate risk",""),IF(M98="Missing PO","Missing PO",""),IF(N98="Review Tax","Tax variance",""),IF(O98&gt;0,"Overdue",""),IF(K98&lt;&gt;"Approved","Approval issue",""))</x:f>
        <x:v>Missing PO; Overdue; Approval issue</x:v>
      </x:c>
    </x:row>
    <x:row r="99">
      <x:c r="A99" s="55" t="str">
        <x:v>AP-0098</x:v>
      </x:c>
      <x:c r="B99" s="56" t="str">
        <x:v>Vendor 29</x:v>
      </x:c>
      <x:c r="C99" s="56" t="str">
        <x:v>INV-33972</x:v>
      </x:c>
      <x:c r="D99" s="56" t="str">
        <x:v>PO-1082</x:v>
      </x:c>
      <x:c r="E99" s="76" t="n">
        <x:v>46161</x:v>
      </x:c>
      <x:c r="F99" s="76" t="n">
        <x:v>46206</x:v>
      </x:c>
      <x:c r="G99" s="80" t="n">
        <x:v>10069.3</x:v>
      </x:c>
      <x:c r="H99" s="80" t="n">
        <x:v>1309.01</x:v>
      </x:c>
      <x:c r="I99" s="80" t="n">
        <x:f>G99+H99</x:f>
        <x:v>11378.31</x:v>
      </x:c>
      <x:c r="J99" s="56" t="str">
        <x:v>On Hold</x:v>
      </x:c>
      <x:c r="K99" s="56" t="str">
        <x:v>Approved</x:v>
      </x:c>
      <x:c r="L99" s="56" t="str">
        <x:f>IF(COUNTIFS($B$2:$B$151,B99,$C$2:$C$151,C99,$I$2:$I$151,I99)&gt;1,"Duplicate Risk","OK")</x:f>
        <x:v>OK</x:v>
      </x:c>
      <x:c r="M99" s="56" t="str">
        <x:f>IF(D99="","Missing PO","Matched")</x:f>
        <x:v>Matched</x:v>
      </x:c>
      <x:c r="N99" s="56" t="str">
        <x:f>IF(ABS(H99-G99*0.13)&lt;=1,"OK","Review Tax")</x:f>
        <x:v>OK</x:v>
      </x:c>
      <x:c r="O99" s="122" t="n">
        <x:f>IF(J99="Paid",0,MAX(0,TODAY()-F99))</x:f>
        <x:v>26</x:v>
      </x:c>
      <x:c r="P99" s="56" t="str">
        <x:f>IF(OR(L99="Duplicate Risk",M99="Missing PO",N99="Review Tax",O99&gt;30,K99&lt;&gt;"Approved"),"High","Low")</x:f>
        <x:v>Low</x:v>
      </x:c>
      <x:c r="Q99" s="57" t="str">
        <x:f>TEXTJOIN("; ",TRUE,IF(L99="Duplicate Risk","Duplicate risk",""),IF(M99="Missing PO","Missing PO",""),IF(N99="Review Tax","Tax variance",""),IF(O99&gt;0,"Overdue",""),IF(K99&lt;&gt;"Approved","Approval issue",""))</x:f>
        <x:v>Overdue</x:v>
      </x:c>
    </x:row>
    <x:row r="100">
      <x:c r="A100" s="55" t="str">
        <x:v>AP-0099</x:v>
      </x:c>
      <x:c r="B100" s="56" t="str">
        <x:v>Vendor 30</x:v>
      </x:c>
      <x:c r="C100" s="56" t="str">
        <x:v>INV-45203</x:v>
      </x:c>
      <x:c r="D100" s="56" t="str">
        <x:v>PO-1044</x:v>
      </x:c>
      <x:c r="E100" s="76" t="n">
        <x:v>46195</x:v>
      </x:c>
      <x:c r="F100" s="76" t="n">
        <x:v>46225</x:v>
      </x:c>
      <x:c r="G100" s="80" t="n">
        <x:v>9418.33</x:v>
      </x:c>
      <x:c r="H100" s="80" t="n">
        <x:v>1230.66</x:v>
      </x:c>
      <x:c r="I100" s="80" t="n">
        <x:f>G100+H100</x:f>
        <x:v>10648.99</x:v>
      </x:c>
      <x:c r="J100" s="56" t="str">
        <x:v>On Hold</x:v>
      </x:c>
      <x:c r="K100" s="56" t="str">
        <x:v>Approved</x:v>
      </x:c>
      <x:c r="L100" s="56" t="str">
        <x:f>IF(COUNTIFS($B$2:$B$151,B100,$C$2:$C$151,C100,$I$2:$I$151,I100)&gt;1,"Duplicate Risk","OK")</x:f>
        <x:v>OK</x:v>
      </x:c>
      <x:c r="M100" s="56" t="str">
        <x:f>IF(D100="","Missing PO","Matched")</x:f>
        <x:v>Matched</x:v>
      </x:c>
      <x:c r="N100" s="56" t="str">
        <x:f>IF(ABS(H100-G100*0.13)&lt;=1,"OK","Review Tax")</x:f>
        <x:v>Review Tax</x:v>
      </x:c>
      <x:c r="O100" s="122" t="n">
        <x:f>IF(J100="Paid",0,MAX(0,TODAY()-F100))</x:f>
        <x:v>7</x:v>
      </x:c>
      <x:c r="P100" s="56" t="str">
        <x:f>IF(OR(L100="Duplicate Risk",M100="Missing PO",N100="Review Tax",O100&gt;30,K100&lt;&gt;"Approved"),"High","Low")</x:f>
        <x:v>High</x:v>
      </x:c>
      <x:c r="Q100" s="57" t="str">
        <x:f>TEXTJOIN("; ",TRUE,IF(L100="Duplicate Risk","Duplicate risk",""),IF(M100="Missing PO","Missing PO",""),IF(N100="Review Tax","Tax variance",""),IF(O100&gt;0,"Overdue",""),IF(K100&lt;&gt;"Approved","Approval issue",""))</x:f>
        <x:v>Tax variance; Overdue</x:v>
      </x:c>
    </x:row>
    <x:row r="101">
      <x:c r="A101" s="55" t="str">
        <x:v>AP-0100</x:v>
      </x:c>
      <x:c r="B101" s="56" t="str">
        <x:v>Vendor 6</x:v>
      </x:c>
      <x:c r="C101" s="56" t="str">
        <x:v>INV-31983</x:v>
      </x:c>
      <x:c r="D101" s="56" t="str">
        <x:v>PO-1019</x:v>
      </x:c>
      <x:c r="E101" s="76" t="n">
        <x:v>46165</x:v>
      </x:c>
      <x:c r="F101" s="76" t="n">
        <x:v>46180</x:v>
      </x:c>
      <x:c r="G101" s="80" t="n">
        <x:v>11579.34</x:v>
      </x:c>
      <x:c r="H101" s="80" t="n">
        <x:v>1505.31</x:v>
      </x:c>
      <x:c r="I101" s="80" t="n">
        <x:f>G101+H101</x:f>
        <x:v>13084.65</x:v>
      </x:c>
      <x:c r="J101" s="56" t="str">
        <x:v>On Hold</x:v>
      </x:c>
      <x:c r="K101" s="56" t="str">
        <x:v>Pending</x:v>
      </x:c>
      <x:c r="L101" s="56" t="str">
        <x:f>IF(COUNTIFS($B$2:$B$151,B101,$C$2:$C$151,C101,$I$2:$I$151,I101)&gt;1,"Duplicate Risk","OK")</x:f>
        <x:v>OK</x:v>
      </x:c>
      <x:c r="M101" s="56" t="str">
        <x:f>IF(D101="","Missing PO","Matched")</x:f>
        <x:v>Matched</x:v>
      </x:c>
      <x:c r="N101" s="56" t="str">
        <x:f>IF(ABS(H101-G101*0.13)&lt;=1,"OK","Review Tax")</x:f>
        <x:v>OK</x:v>
      </x:c>
      <x:c r="O101" s="122" t="n">
        <x:f>IF(J101="Paid",0,MAX(0,TODAY()-F101))</x:f>
        <x:v>52</x:v>
      </x:c>
      <x:c r="P101" s="56" t="str">
        <x:f>IF(OR(L101="Duplicate Risk",M101="Missing PO",N101="Review Tax",O101&gt;30,K101&lt;&gt;"Approved"),"High","Low")</x:f>
        <x:v>High</x:v>
      </x:c>
      <x:c r="Q101" s="57" t="str">
        <x:f>TEXTJOIN("; ",TRUE,IF(L101="Duplicate Risk","Duplicate risk",""),IF(M101="Missing PO","Missing PO",""),IF(N101="Review Tax","Tax variance",""),IF(O101&gt;0,"Overdue",""),IF(K101&lt;&gt;"Approved","Approval issue",""))</x:f>
        <x:v>Overdue; Approval issue</x:v>
      </x:c>
    </x:row>
    <x:row r="102">
      <x:c r="A102" s="55" t="str">
        <x:v>AP-0101</x:v>
      </x:c>
      <x:c r="B102" s="56" t="str">
        <x:v>Vendor 2</x:v>
      </x:c>
      <x:c r="C102" s="56" t="str">
        <x:v>INV-39649</x:v>
      </x:c>
      <x:c r="D102" s="56" t="str">
        <x:v>PO-1019</x:v>
      </x:c>
      <x:c r="E102" s="76" t="n">
        <x:v>46154</x:v>
      </x:c>
      <x:c r="F102" s="76" t="n">
        <x:v>46184</x:v>
      </x:c>
      <x:c r="G102" s="80" t="n">
        <x:v>8418.15</x:v>
      </x:c>
      <x:c r="H102" s="80" t="n">
        <x:v>1091.2</x:v>
      </x:c>
      <x:c r="I102" s="80" t="n">
        <x:f>G102+H102</x:f>
        <x:v>9509.35</x:v>
      </x:c>
      <x:c r="J102" s="56" t="str">
        <x:v>Paid</x:v>
      </x:c>
      <x:c r="K102" s="56" t="str">
        <x:v>Approved</x:v>
      </x:c>
      <x:c r="L102" s="56" t="str">
        <x:f>IF(COUNTIFS($B$2:$B$151,B102,$C$2:$C$151,C102,$I$2:$I$151,I102)&gt;1,"Duplicate Risk","OK")</x:f>
        <x:v>OK</x:v>
      </x:c>
      <x:c r="M102" s="56" t="str">
        <x:f>IF(D102="","Missing PO","Matched")</x:f>
        <x:v>Matched</x:v>
      </x:c>
      <x:c r="N102" s="56" t="str">
        <x:f>IF(ABS(H102-G102*0.13)&lt;=1,"OK","Review Tax")</x:f>
        <x:v>Review Tax</x:v>
      </x:c>
      <x:c r="O102" s="122" t="n">
        <x:f>IF(J102="Paid",0,MAX(0,TODAY()-F102))</x:f>
        <x:v>0</x:v>
      </x:c>
      <x:c r="P102" s="56" t="str">
        <x:f>IF(OR(L102="Duplicate Risk",M102="Missing PO",N102="Review Tax",O102&gt;30,K102&lt;&gt;"Approved"),"High","Low")</x:f>
        <x:v>High</x:v>
      </x:c>
      <x:c r="Q102" s="57" t="str">
        <x:f>TEXTJOIN("; ",TRUE,IF(L102="Duplicate Risk","Duplicate risk",""),IF(M102="Missing PO","Missing PO",""),IF(N102="Review Tax","Tax variance",""),IF(O102&gt;0,"Overdue",""),IF(K102&lt;&gt;"Approved","Approval issue",""))</x:f>
        <x:v>Tax variance</x:v>
      </x:c>
    </x:row>
    <x:row r="103">
      <x:c r="A103" s="55" t="str">
        <x:v>AP-0102</x:v>
      </x:c>
      <x:c r="B103" s="56" t="str">
        <x:v>Vendor 27</x:v>
      </x:c>
      <x:c r="C103" s="56" t="str">
        <x:v>INV-29914</x:v>
      </x:c>
      <x:c r="D103" s="56" t="str">
        <x:v>PO-1091</x:v>
      </x:c>
      <x:c r="E103" s="76" t="n">
        <x:v>46184</x:v>
      </x:c>
      <x:c r="F103" s="76" t="n">
        <x:v>46214</x:v>
      </x:c>
      <x:c r="G103" s="80" t="n">
        <x:v>1872.13</x:v>
      </x:c>
      <x:c r="H103" s="80" t="n">
        <x:v>249.99</x:v>
      </x:c>
      <x:c r="I103" s="80" t="n">
        <x:f>G103+H103</x:f>
        <x:v>2122.12</x:v>
      </x:c>
      <x:c r="J103" s="56" t="str">
        <x:v>Paid</x:v>
      </x:c>
      <x:c r="K103" s="56" t="str">
        <x:v>Approved</x:v>
      </x:c>
      <x:c r="L103" s="56" t="str">
        <x:f>IF(COUNTIFS($B$2:$B$151,B103,$C$2:$C$151,C103,$I$2:$I$151,I103)&gt;1,"Duplicate Risk","OK")</x:f>
        <x:v>OK</x:v>
      </x:c>
      <x:c r="M103" s="56" t="str">
        <x:f>IF(D103="","Missing PO","Matched")</x:f>
        <x:v>Matched</x:v>
      </x:c>
      <x:c r="N103" s="56" t="str">
        <x:f>IF(ABS(H103-G103*0.13)&lt;=1,"OK","Review Tax")</x:f>
        <x:v>Review Tax</x:v>
      </x:c>
      <x:c r="O103" s="122" t="n">
        <x:f>IF(J103="Paid",0,MAX(0,TODAY()-F103))</x:f>
        <x:v>0</x:v>
      </x:c>
      <x:c r="P103" s="56" t="str">
        <x:f>IF(OR(L103="Duplicate Risk",M103="Missing PO",N103="Review Tax",O103&gt;30,K103&lt;&gt;"Approved"),"High","Low")</x:f>
        <x:v>High</x:v>
      </x:c>
      <x:c r="Q103" s="57" t="str">
        <x:f>TEXTJOIN("; ",TRUE,IF(L103="Duplicate Risk","Duplicate risk",""),IF(M103="Missing PO","Missing PO",""),IF(N103="Review Tax","Tax variance",""),IF(O103&gt;0,"Overdue",""),IF(K103&lt;&gt;"Approved","Approval issue",""))</x:f>
        <x:v>Tax variance</x:v>
      </x:c>
    </x:row>
    <x:row r="104">
      <x:c r="A104" s="55" t="str">
        <x:v>AP-0103</x:v>
      </x:c>
      <x:c r="B104" s="56" t="str">
        <x:v>Vendor 22</x:v>
      </x:c>
      <x:c r="C104" s="56" t="str">
        <x:v>INV-20302</x:v>
      </x:c>
      <x:c r="D104" s="56" t="str">
        <x:v>PO-1073</x:v>
      </x:c>
      <x:c r="E104" s="76" t="n">
        <x:v>46157</x:v>
      </x:c>
      <x:c r="F104" s="76" t="n">
        <x:v>46172</x:v>
      </x:c>
      <x:c r="G104" s="80" t="n">
        <x:v>7178.22</x:v>
      </x:c>
      <x:c r="H104" s="80" t="n">
        <x:v>929.95</x:v>
      </x:c>
      <x:c r="I104" s="80" t="n">
        <x:f>G104+H104</x:f>
        <x:v>8108.17</x:v>
      </x:c>
      <x:c r="J104" s="56" t="str">
        <x:v>Unpaid</x:v>
      </x:c>
      <x:c r="K104" s="56" t="str">
        <x:v>Rejected</x:v>
      </x:c>
      <x:c r="L104" s="56" t="str">
        <x:f>IF(COUNTIFS($B$2:$B$151,B104,$C$2:$C$151,C104,$I$2:$I$151,I104)&gt;1,"Duplicate Risk","OK")</x:f>
        <x:v>OK</x:v>
      </x:c>
      <x:c r="M104" s="56" t="str">
        <x:f>IF(D104="","Missing PO","Matched")</x:f>
        <x:v>Matched</x:v>
      </x:c>
      <x:c r="N104" s="56" t="str">
        <x:f>IF(ABS(H104-G104*0.13)&lt;=1,"OK","Review Tax")</x:f>
        <x:v>Review Tax</x:v>
      </x:c>
      <x:c r="O104" s="122" t="n">
        <x:f>IF(J104="Paid",0,MAX(0,TODAY()-F104))</x:f>
        <x:v>60</x:v>
      </x:c>
      <x:c r="P104" s="56" t="str">
        <x:f>IF(OR(L104="Duplicate Risk",M104="Missing PO",N104="Review Tax",O104&gt;30,K104&lt;&gt;"Approved"),"High","Low")</x:f>
        <x:v>High</x:v>
      </x:c>
      <x:c r="Q104" s="57" t="str">
        <x:f>TEXTJOIN("; ",TRUE,IF(L104="Duplicate Risk","Duplicate risk",""),IF(M104="Missing PO","Missing PO",""),IF(N104="Review Tax","Tax variance",""),IF(O104&gt;0,"Overdue",""),IF(K104&lt;&gt;"Approved","Approval issue",""))</x:f>
        <x:v>Tax variance; Overdue; Approval issue</x:v>
      </x:c>
    </x:row>
    <x:row r="105">
      <x:c r="A105" s="55" t="str">
        <x:v>AP-0104</x:v>
      </x:c>
      <x:c r="B105" s="56" t="str">
        <x:v>Vendor 15</x:v>
      </x:c>
      <x:c r="C105" s="56" t="str">
        <x:v>INV-43999</x:v>
      </x:c>
      <x:c r="D105" s="56" t="str">
        <x:v>PO-1080</x:v>
      </x:c>
      <x:c r="E105" s="76" t="n">
        <x:v>46182</x:v>
      </x:c>
      <x:c r="F105" s="76" t="n">
        <x:v>46197</x:v>
      </x:c>
      <x:c r="G105" s="80" t="n">
        <x:v>7214.87</x:v>
      </x:c>
      <x:c r="H105" s="80" t="n">
        <x:v>937.93</x:v>
      </x:c>
      <x:c r="I105" s="80" t="n">
        <x:f>G105+H105</x:f>
        <x:v>8152.8</x:v>
      </x:c>
      <x:c r="J105" s="56" t="str">
        <x:v>Unpaid</x:v>
      </x:c>
      <x:c r="K105" s="56" t="str">
        <x:v>Approved</x:v>
      </x:c>
      <x:c r="L105" s="56" t="str">
        <x:f>IF(COUNTIFS($B$2:$B$151,B105,$C$2:$C$151,C105,$I$2:$I$151,I105)&gt;1,"Duplicate Risk","OK")</x:f>
        <x:v>OK</x:v>
      </x:c>
      <x:c r="M105" s="56" t="str">
        <x:f>IF(D105="","Missing PO","Matched")</x:f>
        <x:v>Matched</x:v>
      </x:c>
      <x:c r="N105" s="56" t="str">
        <x:f>IF(ABS(H105-G105*0.13)&lt;=1,"OK","Review Tax")</x:f>
        <x:v>OK</x:v>
      </x:c>
      <x:c r="O105" s="122" t="n">
        <x:f>IF(J105="Paid",0,MAX(0,TODAY()-F105))</x:f>
        <x:v>35</x:v>
      </x:c>
      <x:c r="P105" s="56" t="str">
        <x:f>IF(OR(L105="Duplicate Risk",M105="Missing PO",N105="Review Tax",O105&gt;30,K105&lt;&gt;"Approved"),"High","Low")</x:f>
        <x:v>High</x:v>
      </x:c>
      <x:c r="Q105" s="57" t="str">
        <x:f>TEXTJOIN("; ",TRUE,IF(L105="Duplicate Risk","Duplicate risk",""),IF(M105="Missing PO","Missing PO",""),IF(N105="Review Tax","Tax variance",""),IF(O105&gt;0,"Overdue",""),IF(K105&lt;&gt;"Approved","Approval issue",""))</x:f>
        <x:v>Overdue</x:v>
      </x:c>
    </x:row>
    <x:row r="106">
      <x:c r="A106" s="55" t="str">
        <x:v>AP-0105</x:v>
      </x:c>
      <x:c r="B106" s="56" t="str">
        <x:v>Vendor 16</x:v>
      </x:c>
      <x:c r="C106" s="56" t="str">
        <x:v>INV-46436</x:v>
      </x:c>
      <x:c r="D106" s="56" t="str"/>
      <x:c r="E106" s="76" t="n">
        <x:v>46173</x:v>
      </x:c>
      <x:c r="F106" s="76" t="n">
        <x:v>46203</x:v>
      </x:c>
      <x:c r="G106" s="80" t="n">
        <x:v>8920.08</x:v>
      </x:c>
      <x:c r="H106" s="80" t="n">
        <x:v>1152.44</x:v>
      </x:c>
      <x:c r="I106" s="80" t="n">
        <x:f>G106+H106</x:f>
        <x:v>10072.52</x:v>
      </x:c>
      <x:c r="J106" s="56" t="str">
        <x:v>Paid</x:v>
      </x:c>
      <x:c r="K106" s="56" t="str">
        <x:v>Rejected</x:v>
      </x:c>
      <x:c r="L106" s="56" t="str">
        <x:f>IF(COUNTIFS($B$2:$B$151,B106,$C$2:$C$151,C106,$I$2:$I$151,I106)&gt;1,"Duplicate Risk","OK")</x:f>
        <x:v>OK</x:v>
      </x:c>
      <x:c r="M106" s="56" t="str">
        <x:f>IF(D106="","Missing PO","Matched")</x:f>
        <x:v>Missing PO</x:v>
      </x:c>
      <x:c r="N106" s="56" t="str">
        <x:f>IF(ABS(H106-G106*0.13)&lt;=1,"OK","Review Tax")</x:f>
        <x:v>Review Tax</x:v>
      </x:c>
      <x:c r="O106" s="122" t="n">
        <x:f>IF(J106="Paid",0,MAX(0,TODAY()-F106))</x:f>
        <x:v>0</x:v>
      </x:c>
      <x:c r="P106" s="56" t="str">
        <x:f>IF(OR(L106="Duplicate Risk",M106="Missing PO",N106="Review Tax",O106&gt;30,K106&lt;&gt;"Approved"),"High","Low")</x:f>
        <x:v>High</x:v>
      </x:c>
      <x:c r="Q106" s="57" t="str">
        <x:f>TEXTJOIN("; ",TRUE,IF(L106="Duplicate Risk","Duplicate risk",""),IF(M106="Missing PO","Missing PO",""),IF(N106="Review Tax","Tax variance",""),IF(O106&gt;0,"Overdue",""),IF(K106&lt;&gt;"Approved","Approval issue",""))</x:f>
        <x:v>Missing PO; Tax variance; Approval issue</x:v>
      </x:c>
    </x:row>
    <x:row r="107">
      <x:c r="A107" s="55" t="str">
        <x:v>AP-0106</x:v>
      </x:c>
      <x:c r="B107" s="56" t="str">
        <x:v>Vendor 2</x:v>
      </x:c>
      <x:c r="C107" s="56" t="str">
        <x:v>INV-32511</x:v>
      </x:c>
      <x:c r="D107" s="56" t="str"/>
      <x:c r="E107" s="76" t="n">
        <x:v>46170</x:v>
      </x:c>
      <x:c r="F107" s="76" t="n">
        <x:v>46200</x:v>
      </x:c>
      <x:c r="G107" s="80" t="n">
        <x:v>7376.64</x:v>
      </x:c>
      <x:c r="H107" s="80" t="n">
        <x:v>958.96</x:v>
      </x:c>
      <x:c r="I107" s="80" t="n">
        <x:f>G107+H107</x:f>
        <x:v>8335.6</x:v>
      </x:c>
      <x:c r="J107" s="56" t="str">
        <x:v>Unpaid</x:v>
      </x:c>
      <x:c r="K107" s="56" t="str">
        <x:v>Rejected</x:v>
      </x:c>
      <x:c r="L107" s="56" t="str">
        <x:f>IF(COUNTIFS($B$2:$B$151,B107,$C$2:$C$151,C107,$I$2:$I$151,I107)&gt;1,"Duplicate Risk","OK")</x:f>
        <x:v>OK</x:v>
      </x:c>
      <x:c r="M107" s="56" t="str">
        <x:f>IF(D107="","Missing PO","Matched")</x:f>
        <x:v>Missing PO</x:v>
      </x:c>
      <x:c r="N107" s="56" t="str">
        <x:f>IF(ABS(H107-G107*0.13)&lt;=1,"OK","Review Tax")</x:f>
        <x:v>OK</x:v>
      </x:c>
      <x:c r="O107" s="122" t="n">
        <x:f>IF(J107="Paid",0,MAX(0,TODAY()-F107))</x:f>
        <x:v>32</x:v>
      </x:c>
      <x:c r="P107" s="56" t="str">
        <x:f>IF(OR(L107="Duplicate Risk",M107="Missing PO",N107="Review Tax",O107&gt;30,K107&lt;&gt;"Approved"),"High","Low")</x:f>
        <x:v>High</x:v>
      </x:c>
      <x:c r="Q107" s="57" t="str">
        <x:f>TEXTJOIN("; ",TRUE,IF(L107="Duplicate Risk","Duplicate risk",""),IF(M107="Missing PO","Missing PO",""),IF(N107="Review Tax","Tax variance",""),IF(O107&gt;0,"Overdue",""),IF(K107&lt;&gt;"Approved","Approval issue",""))</x:f>
        <x:v>Missing PO; Overdue; Approval issue</x:v>
      </x:c>
    </x:row>
    <x:row r="108">
      <x:c r="A108" s="55" t="str">
        <x:v>AP-0107</x:v>
      </x:c>
      <x:c r="B108" s="56" t="str">
        <x:v>Vendor 18</x:v>
      </x:c>
      <x:c r="C108" s="56" t="str">
        <x:v>INV-24706</x:v>
      </x:c>
      <x:c r="D108" s="56" t="str">
        <x:v>PO-1082</x:v>
      </x:c>
      <x:c r="E108" s="76" t="n">
        <x:v>46172</x:v>
      </x:c>
      <x:c r="F108" s="76" t="n">
        <x:v>46217</x:v>
      </x:c>
      <x:c r="G108" s="80" t="n">
        <x:v>2979.25</x:v>
      </x:c>
      <x:c r="H108" s="80" t="n">
        <x:v>387.3</x:v>
      </x:c>
      <x:c r="I108" s="80" t="n">
        <x:f>G108+H108</x:f>
        <x:v>3366.55</x:v>
      </x:c>
      <x:c r="J108" s="56" t="str">
        <x:v>Paid</x:v>
      </x:c>
      <x:c r="K108" s="56" t="str">
        <x:v>Approved</x:v>
      </x:c>
      <x:c r="L108" s="56" t="str">
        <x:f>IF(COUNTIFS($B$2:$B$151,B108,$C$2:$C$151,C108,$I$2:$I$151,I108)&gt;1,"Duplicate Risk","OK")</x:f>
        <x:v>OK</x:v>
      </x:c>
      <x:c r="M108" s="56" t="str">
        <x:f>IF(D108="","Missing PO","Matched")</x:f>
        <x:v>Matched</x:v>
      </x:c>
      <x:c r="N108" s="56" t="str">
        <x:f>IF(ABS(H108-G108*0.13)&lt;=1,"OK","Review Tax")</x:f>
        <x:v>OK</x:v>
      </x:c>
      <x:c r="O108" s="122" t="n">
        <x:f>IF(J108="Paid",0,MAX(0,TODAY()-F108))</x:f>
        <x:v>0</x:v>
      </x:c>
      <x:c r="P108" s="56" t="str">
        <x:f>IF(OR(L108="Duplicate Risk",M108="Missing PO",N108="Review Tax",O108&gt;30,K108&lt;&gt;"Approved"),"High","Low")</x:f>
        <x:v>Low</x:v>
      </x:c>
      <x:c r="Q108" s="57" t="str">
        <x:f>TEXTJOIN("; ",TRUE,IF(L108="Duplicate Risk","Duplicate risk",""),IF(M108="Missing PO","Missing PO",""),IF(N108="Review Tax","Tax variance",""),IF(O108&gt;0,"Overdue",""),IF(K108&lt;&gt;"Approved","Approval issue",""))</x:f>
      </x:c>
    </x:row>
    <x:row r="109">
      <x:c r="A109" s="55" t="str">
        <x:v>AP-0108</x:v>
      </x:c>
      <x:c r="B109" s="56" t="str">
        <x:v>Vendor 15</x:v>
      </x:c>
      <x:c r="C109" s="56" t="str">
        <x:v>INV-44053</x:v>
      </x:c>
      <x:c r="D109" s="56" t="str"/>
      <x:c r="E109" s="76" t="n">
        <x:v>46188</x:v>
      </x:c>
      <x:c r="F109" s="76" t="n">
        <x:v>46233</x:v>
      </x:c>
      <x:c r="G109" s="80" t="n">
        <x:v>6895.28</x:v>
      </x:c>
      <x:c r="H109" s="80" t="n">
        <x:v>893.3</x:v>
      </x:c>
      <x:c r="I109" s="80" t="n">
        <x:f>G109+H109</x:f>
        <x:v>7788.58</x:v>
      </x:c>
      <x:c r="J109" s="56" t="str">
        <x:v>On Hold</x:v>
      </x:c>
      <x:c r="K109" s="56" t="str">
        <x:v>Rejected</x:v>
      </x:c>
      <x:c r="L109" s="56" t="str">
        <x:f>IF(COUNTIFS($B$2:$B$151,B109,$C$2:$C$151,C109,$I$2:$I$151,I109)&gt;1,"Duplicate Risk","OK")</x:f>
        <x:v>Duplicate Risk</x:v>
      </x:c>
      <x:c r="M109" s="56" t="str">
        <x:f>IF(D109="","Missing PO","Matched")</x:f>
        <x:v>Missing PO</x:v>
      </x:c>
      <x:c r="N109" s="56" t="str">
        <x:f>IF(ABS(H109-G109*0.13)&lt;=1,"OK","Review Tax")</x:f>
        <x:v>Review Tax</x:v>
      </x:c>
      <x:c r="O109" s="122" t="n">
        <x:f>IF(J109="Paid",0,MAX(0,TODAY()-F109))</x:f>
        <x:v>0</x:v>
      </x:c>
      <x:c r="P109" s="56" t="str">
        <x:f>IF(OR(L109="Duplicate Risk",M109="Missing PO",N109="Review Tax",O109&gt;30,K109&lt;&gt;"Approved"),"High","Low")</x:f>
        <x:v>High</x:v>
      </x:c>
      <x:c r="Q109" s="57" t="str">
        <x:f>TEXTJOIN("; ",TRUE,IF(L109="Duplicate Risk","Duplicate risk",""),IF(M109="Missing PO","Missing PO",""),IF(N109="Review Tax","Tax variance",""),IF(O109&gt;0,"Overdue",""),IF(K109&lt;&gt;"Approved","Approval issue",""))</x:f>
        <x:v>Duplicate risk; Missing PO; Tax variance; Approval issue</x:v>
      </x:c>
    </x:row>
    <x:row r="110">
      <x:c r="A110" s="55" t="str">
        <x:v>AP-0109</x:v>
      </x:c>
      <x:c r="B110" s="56" t="str">
        <x:v>Vendor 3</x:v>
      </x:c>
      <x:c r="C110" s="56" t="str">
        <x:v>INV-36581</x:v>
      </x:c>
      <x:c r="D110" s="56" t="str"/>
      <x:c r="E110" s="76" t="n">
        <x:v>46146</x:v>
      </x:c>
      <x:c r="F110" s="76" t="n">
        <x:v>46191</x:v>
      </x:c>
      <x:c r="G110" s="80" t="n">
        <x:v>6228.11</x:v>
      </x:c>
      <x:c r="H110" s="80" t="n">
        <x:v>807.03</x:v>
      </x:c>
      <x:c r="I110" s="80" t="n">
        <x:f>G110+H110</x:f>
        <x:v>7035.139999999999</x:v>
      </x:c>
      <x:c r="J110" s="56" t="str">
        <x:v>Unpaid</x:v>
      </x:c>
      <x:c r="K110" s="56" t="str">
        <x:v>Pending</x:v>
      </x:c>
      <x:c r="L110" s="56" t="str">
        <x:f>IF(COUNTIFS($B$2:$B$151,B110,$C$2:$C$151,C110,$I$2:$I$151,I110)&gt;1,"Duplicate Risk","OK")</x:f>
        <x:v>OK</x:v>
      </x:c>
      <x:c r="M110" s="56" t="str">
        <x:f>IF(D110="","Missing PO","Matched")</x:f>
        <x:v>Missing PO</x:v>
      </x:c>
      <x:c r="N110" s="56" t="str">
        <x:f>IF(ABS(H110-G110*0.13)&lt;=1,"OK","Review Tax")</x:f>
        <x:v>Review Tax</x:v>
      </x:c>
      <x:c r="O110" s="122" t="n">
        <x:f>IF(J110="Paid",0,MAX(0,TODAY()-F110))</x:f>
        <x:v>41</x:v>
      </x:c>
      <x:c r="P110" s="56" t="str">
        <x:f>IF(OR(L110="Duplicate Risk",M110="Missing PO",N110="Review Tax",O110&gt;30,K110&lt;&gt;"Approved"),"High","Low")</x:f>
        <x:v>High</x:v>
      </x:c>
      <x:c r="Q110" s="57" t="str">
        <x:f>TEXTJOIN("; ",TRUE,IF(L110="Duplicate Risk","Duplicate risk",""),IF(M110="Missing PO","Missing PO",""),IF(N110="Review Tax","Tax variance",""),IF(O110&gt;0,"Overdue",""),IF(K110&lt;&gt;"Approved","Approval issue",""))</x:f>
        <x:v>Missing PO; Tax variance; Overdue; Approval issue</x:v>
      </x:c>
    </x:row>
    <x:row r="111">
      <x:c r="A111" s="55" t="str">
        <x:v>AP-0110</x:v>
      </x:c>
      <x:c r="B111" s="56" t="str">
        <x:v>Vendor 30</x:v>
      </x:c>
      <x:c r="C111" s="56" t="str">
        <x:v>INV-24561</x:v>
      </x:c>
      <x:c r="D111" s="56" t="str"/>
      <x:c r="E111" s="76" t="n">
        <x:v>46156</x:v>
      </x:c>
      <x:c r="F111" s="76" t="n">
        <x:v>46186</x:v>
      </x:c>
      <x:c r="G111" s="80" t="n">
        <x:v>7492.61</x:v>
      </x:c>
      <x:c r="H111" s="80" t="n">
        <x:v>974.04</x:v>
      </x:c>
      <x:c r="I111" s="80" t="n">
        <x:f>G111+H111</x:f>
        <x:v>8466.65</x:v>
      </x:c>
      <x:c r="J111" s="56" t="str">
        <x:v>On Hold</x:v>
      </x:c>
      <x:c r="K111" s="56" t="str">
        <x:v>Approved</x:v>
      </x:c>
      <x:c r="L111" s="56" t="str">
        <x:f>IF(COUNTIFS($B$2:$B$151,B111,$C$2:$C$151,C111,$I$2:$I$151,I111)&gt;1,"Duplicate Risk","OK")</x:f>
        <x:v>OK</x:v>
      </x:c>
      <x:c r="M111" s="56" t="str">
        <x:f>IF(D111="","Missing PO","Matched")</x:f>
        <x:v>Missing PO</x:v>
      </x:c>
      <x:c r="N111" s="56" t="str">
        <x:f>IF(ABS(H111-G111*0.13)&lt;=1,"OK","Review Tax")</x:f>
        <x:v>OK</x:v>
      </x:c>
      <x:c r="O111" s="122" t="n">
        <x:f>IF(J111="Paid",0,MAX(0,TODAY()-F111))</x:f>
        <x:v>46</x:v>
      </x:c>
      <x:c r="P111" s="56" t="str">
        <x:f>IF(OR(L111="Duplicate Risk",M111="Missing PO",N111="Review Tax",O111&gt;30,K111&lt;&gt;"Approved"),"High","Low")</x:f>
        <x:v>High</x:v>
      </x:c>
      <x:c r="Q111" s="57" t="str">
        <x:f>TEXTJOIN("; ",TRUE,IF(L111="Duplicate Risk","Duplicate risk",""),IF(M111="Missing PO","Missing PO",""),IF(N111="Review Tax","Tax variance",""),IF(O111&gt;0,"Overdue",""),IF(K111&lt;&gt;"Approved","Approval issue",""))</x:f>
        <x:v>Missing PO; Overdue</x:v>
      </x:c>
    </x:row>
    <x:row r="112">
      <x:c r="A112" s="55" t="str">
        <x:v>AP-0111</x:v>
      </x:c>
      <x:c r="B112" s="56" t="str">
        <x:v>Vendor 29</x:v>
      </x:c>
      <x:c r="C112" s="56" t="str">
        <x:v>INV-25667</x:v>
      </x:c>
      <x:c r="D112" s="56" t="str">
        <x:v>PO-1035</x:v>
      </x:c>
      <x:c r="E112" s="76" t="n">
        <x:v>46164</x:v>
      </x:c>
      <x:c r="F112" s="76" t="n">
        <x:v>46209</x:v>
      </x:c>
      <x:c r="G112" s="80" t="n">
        <x:v>7065.18</x:v>
      </x:c>
      <x:c r="H112" s="80" t="n">
        <x:v>912.25</x:v>
      </x:c>
      <x:c r="I112" s="80" t="n">
        <x:f>G112+H112</x:f>
        <x:v>7977.43</x:v>
      </x:c>
      <x:c r="J112" s="56" t="str">
        <x:v>Unpaid</x:v>
      </x:c>
      <x:c r="K112" s="56" t="str">
        <x:v>Rejected</x:v>
      </x:c>
      <x:c r="L112" s="56" t="str">
        <x:f>IF(COUNTIFS($B$2:$B$151,B112,$C$2:$C$151,C112,$I$2:$I$151,I112)&gt;1,"Duplicate Risk","OK")</x:f>
        <x:v>Duplicate Risk</x:v>
      </x:c>
      <x:c r="M112" s="56" t="str">
        <x:f>IF(D112="","Missing PO","Matched")</x:f>
        <x:v>Matched</x:v>
      </x:c>
      <x:c r="N112" s="56" t="str">
        <x:f>IF(ABS(H112-G112*0.13)&lt;=1,"OK","Review Tax")</x:f>
        <x:v>Review Tax</x:v>
      </x:c>
      <x:c r="O112" s="122" t="n">
        <x:f>IF(J112="Paid",0,MAX(0,TODAY()-F112))</x:f>
        <x:v>23</x:v>
      </x:c>
      <x:c r="P112" s="56" t="str">
        <x:f>IF(OR(L112="Duplicate Risk",M112="Missing PO",N112="Review Tax",O112&gt;30,K112&lt;&gt;"Approved"),"High","Low")</x:f>
        <x:v>High</x:v>
      </x:c>
      <x:c r="Q112" s="57" t="str">
        <x:f>TEXTJOIN("; ",TRUE,IF(L112="Duplicate Risk","Duplicate risk",""),IF(M112="Missing PO","Missing PO",""),IF(N112="Review Tax","Tax variance",""),IF(O112&gt;0,"Overdue",""),IF(K112&lt;&gt;"Approved","Approval issue",""))</x:f>
        <x:v>Duplicate risk; Tax variance; Overdue; Approval issue</x:v>
      </x:c>
    </x:row>
    <x:row r="113">
      <x:c r="A113" s="55" t="str">
        <x:v>AP-0112</x:v>
      </x:c>
      <x:c r="B113" s="56" t="str">
        <x:v>Vendor 6</x:v>
      </x:c>
      <x:c r="C113" s="56" t="str">
        <x:v>INV-36744</x:v>
      </x:c>
      <x:c r="D113" s="56" t="str"/>
      <x:c r="E113" s="76" t="n">
        <x:v>46171</x:v>
      </x:c>
      <x:c r="F113" s="76" t="n">
        <x:v>46216</x:v>
      </x:c>
      <x:c r="G113" s="80" t="n">
        <x:v>3439.57</x:v>
      </x:c>
      <x:c r="H113" s="80" t="n">
        <x:v>450.24</x:v>
      </x:c>
      <x:c r="I113" s="80" t="n">
        <x:f>G113+H113</x:f>
        <x:v>3889.8100000000004</x:v>
      </x:c>
      <x:c r="J113" s="56" t="str">
        <x:v>Unpaid</x:v>
      </x:c>
      <x:c r="K113" s="56" t="str">
        <x:v>Rejected</x:v>
      </x:c>
      <x:c r="L113" s="56" t="str">
        <x:f>IF(COUNTIFS($B$2:$B$151,B113,$C$2:$C$151,C113,$I$2:$I$151,I113)&gt;1,"Duplicate Risk","OK")</x:f>
        <x:v>Duplicate Risk</x:v>
      </x:c>
      <x:c r="M113" s="56" t="str">
        <x:f>IF(D113="","Missing PO","Matched")</x:f>
        <x:v>Missing PO</x:v>
      </x:c>
      <x:c r="N113" s="56" t="str">
        <x:f>IF(ABS(H113-G113*0.13)&lt;=1,"OK","Review Tax")</x:f>
        <x:v>Review Tax</x:v>
      </x:c>
      <x:c r="O113" s="122" t="n">
        <x:f>IF(J113="Paid",0,MAX(0,TODAY()-F113))</x:f>
        <x:v>16</x:v>
      </x:c>
      <x:c r="P113" s="56" t="str">
        <x:f>IF(OR(L113="Duplicate Risk",M113="Missing PO",N113="Review Tax",O113&gt;30,K113&lt;&gt;"Approved"),"High","Low")</x:f>
        <x:v>High</x:v>
      </x:c>
      <x:c r="Q113" s="57" t="str">
        <x:f>TEXTJOIN("; ",TRUE,IF(L113="Duplicate Risk","Duplicate risk",""),IF(M113="Missing PO","Missing PO",""),IF(N113="Review Tax","Tax variance",""),IF(O113&gt;0,"Overdue",""),IF(K113&lt;&gt;"Approved","Approval issue",""))</x:f>
        <x:v>Duplicate risk; Missing PO; Tax variance; Overdue; Approval issue</x:v>
      </x:c>
    </x:row>
    <x:row r="114">
      <x:c r="A114" s="55" t="str">
        <x:v>AP-0113</x:v>
      </x:c>
      <x:c r="B114" s="56" t="str">
        <x:v>Vendor 15</x:v>
      </x:c>
      <x:c r="C114" s="56" t="str">
        <x:v>INV-44053</x:v>
      </x:c>
      <x:c r="D114" s="56" t="str">
        <x:v>PO-1057</x:v>
      </x:c>
      <x:c r="E114" s="76" t="n">
        <x:v>46155</x:v>
      </x:c>
      <x:c r="F114" s="76" t="n">
        <x:v>46200</x:v>
      </x:c>
      <x:c r="G114" s="80" t="n">
        <x:v>6895.28</x:v>
      </x:c>
      <x:c r="H114" s="80" t="n">
        <x:v>893.3</x:v>
      </x:c>
      <x:c r="I114" s="80" t="n">
        <x:f>G114+H114</x:f>
        <x:v>7788.58</x:v>
      </x:c>
      <x:c r="J114" s="56" t="str">
        <x:v>On Hold</x:v>
      </x:c>
      <x:c r="K114" s="56" t="str">
        <x:v>Pending</x:v>
      </x:c>
      <x:c r="L114" s="56" t="str">
        <x:f>IF(COUNTIFS($B$2:$B$151,B114,$C$2:$C$151,C114,$I$2:$I$151,I114)&gt;1,"Duplicate Risk","OK")</x:f>
        <x:v>Duplicate Risk</x:v>
      </x:c>
      <x:c r="M114" s="56" t="str">
        <x:f>IF(D114="","Missing PO","Matched")</x:f>
        <x:v>Matched</x:v>
      </x:c>
      <x:c r="N114" s="56" t="str">
        <x:f>IF(ABS(H114-G114*0.13)&lt;=1,"OK","Review Tax")</x:f>
        <x:v>Review Tax</x:v>
      </x:c>
      <x:c r="O114" s="122" t="n">
        <x:f>IF(J114="Paid",0,MAX(0,TODAY()-F114))</x:f>
        <x:v>32</x:v>
      </x:c>
      <x:c r="P114" s="56" t="str">
        <x:f>IF(OR(L114="Duplicate Risk",M114="Missing PO",N114="Review Tax",O114&gt;30,K114&lt;&gt;"Approved"),"High","Low")</x:f>
        <x:v>High</x:v>
      </x:c>
      <x:c r="Q114" s="57" t="str">
        <x:f>TEXTJOIN("; ",TRUE,IF(L114="Duplicate Risk","Duplicate risk",""),IF(M114="Missing PO","Missing PO",""),IF(N114="Review Tax","Tax variance",""),IF(O114&gt;0,"Overdue",""),IF(K114&lt;&gt;"Approved","Approval issue",""))</x:f>
        <x:v>Duplicate risk; Tax variance; Overdue; Approval issue</x:v>
      </x:c>
    </x:row>
    <x:row r="115">
      <x:c r="A115" s="55" t="str">
        <x:v>AP-0114</x:v>
      </x:c>
      <x:c r="B115" s="56" t="str">
        <x:v>Vendor 13</x:v>
      </x:c>
      <x:c r="C115" s="56" t="str">
        <x:v>INV-21910</x:v>
      </x:c>
      <x:c r="D115" s="56" t="str">
        <x:v>PO-1045</x:v>
      </x:c>
      <x:c r="E115" s="76" t="n">
        <x:v>46160</x:v>
      </x:c>
      <x:c r="F115" s="76" t="n">
        <x:v>46190</x:v>
      </x:c>
      <x:c r="G115" s="80" t="n">
        <x:v>3263.99</x:v>
      </x:c>
      <x:c r="H115" s="80" t="n">
        <x:v>424.32</x:v>
      </x:c>
      <x:c r="I115" s="80" t="n">
        <x:f>G115+H115</x:f>
        <x:v>3688.31</x:v>
      </x:c>
      <x:c r="J115" s="56" t="str">
        <x:v>Unpaid</x:v>
      </x:c>
      <x:c r="K115" s="56" t="str">
        <x:v>Rejected</x:v>
      </x:c>
      <x:c r="L115" s="56" t="str">
        <x:f>IF(COUNTIFS($B$2:$B$151,B115,$C$2:$C$151,C115,$I$2:$I$151,I115)&gt;1,"Duplicate Risk","OK")</x:f>
        <x:v>OK</x:v>
      </x:c>
      <x:c r="M115" s="56" t="str">
        <x:f>IF(D115="","Missing PO","Matched")</x:f>
        <x:v>Matched</x:v>
      </x:c>
      <x:c r="N115" s="56" t="str">
        <x:f>IF(ABS(H115-G115*0.13)&lt;=1,"OK","Review Tax")</x:f>
        <x:v>OK</x:v>
      </x:c>
      <x:c r="O115" s="122" t="n">
        <x:f>IF(J115="Paid",0,MAX(0,TODAY()-F115))</x:f>
        <x:v>42</x:v>
      </x:c>
      <x:c r="P115" s="56" t="str">
        <x:f>IF(OR(L115="Duplicate Risk",M115="Missing PO",N115="Review Tax",O115&gt;30,K115&lt;&gt;"Approved"),"High","Low")</x:f>
        <x:v>High</x:v>
      </x:c>
      <x:c r="Q115" s="57" t="str">
        <x:f>TEXTJOIN("; ",TRUE,IF(L115="Duplicate Risk","Duplicate risk",""),IF(M115="Missing PO","Missing PO",""),IF(N115="Review Tax","Tax variance",""),IF(O115&gt;0,"Overdue",""),IF(K115&lt;&gt;"Approved","Approval issue",""))</x:f>
        <x:v>Overdue; Approval issue</x:v>
      </x:c>
    </x:row>
    <x:row r="116">
      <x:c r="A116" s="55" t="str">
        <x:v>AP-0115</x:v>
      </x:c>
      <x:c r="B116" s="56" t="str">
        <x:v>Vendor 4</x:v>
      </x:c>
      <x:c r="C116" s="56" t="str">
        <x:v>INV-21360</x:v>
      </x:c>
      <x:c r="D116" s="56" t="str"/>
      <x:c r="E116" s="76" t="n">
        <x:v>46163</x:v>
      </x:c>
      <x:c r="F116" s="76" t="n">
        <x:v>46193</x:v>
      </x:c>
      <x:c r="G116" s="80" t="n">
        <x:v>402.54</x:v>
      </x:c>
      <x:c r="H116" s="80" t="n">
        <x:v>55.67</x:v>
      </x:c>
      <x:c r="I116" s="80" t="n">
        <x:f>G116+H116</x:f>
        <x:v>458.21000000000004</x:v>
      </x:c>
      <x:c r="J116" s="56" t="str">
        <x:v>Unpaid</x:v>
      </x:c>
      <x:c r="K116" s="56" t="str">
        <x:v>Approved</x:v>
      </x:c>
      <x:c r="L116" s="56" t="str">
        <x:f>IF(COUNTIFS($B$2:$B$151,B116,$C$2:$C$151,C116,$I$2:$I$151,I116)&gt;1,"Duplicate Risk","OK")</x:f>
        <x:v>OK</x:v>
      </x:c>
      <x:c r="M116" s="56" t="str">
        <x:f>IF(D116="","Missing PO","Matched")</x:f>
        <x:v>Missing PO</x:v>
      </x:c>
      <x:c r="N116" s="56" t="str">
        <x:f>IF(ABS(H116-G116*0.13)&lt;=1,"OK","Review Tax")</x:f>
        <x:v>Review Tax</x:v>
      </x:c>
      <x:c r="O116" s="122" t="n">
        <x:f>IF(J116="Paid",0,MAX(0,TODAY()-F116))</x:f>
        <x:v>39</x:v>
      </x:c>
      <x:c r="P116" s="56" t="str">
        <x:f>IF(OR(L116="Duplicate Risk",M116="Missing PO",N116="Review Tax",O116&gt;30,K116&lt;&gt;"Approved"),"High","Low")</x:f>
        <x:v>High</x:v>
      </x:c>
      <x:c r="Q116" s="57" t="str">
        <x:f>TEXTJOIN("; ",TRUE,IF(L116="Duplicate Risk","Duplicate risk",""),IF(M116="Missing PO","Missing PO",""),IF(N116="Review Tax","Tax variance",""),IF(O116&gt;0,"Overdue",""),IF(K116&lt;&gt;"Approved","Approval issue",""))</x:f>
        <x:v>Missing PO; Tax variance; Overdue</x:v>
      </x:c>
    </x:row>
    <x:row r="117">
      <x:c r="A117" s="55" t="str">
        <x:v>AP-0116</x:v>
      </x:c>
      <x:c r="B117" s="56" t="str">
        <x:v>Vendor 17</x:v>
      </x:c>
      <x:c r="C117" s="56" t="str">
        <x:v>INV-42354</x:v>
      </x:c>
      <x:c r="D117" s="56" t="str">
        <x:v>PO-1017</x:v>
      </x:c>
      <x:c r="E117" s="76" t="n">
        <x:v>46173</x:v>
      </x:c>
      <x:c r="F117" s="76" t="n">
        <x:v>46188</x:v>
      </x:c>
      <x:c r="G117" s="80" t="n">
        <x:v>2177.64</x:v>
      </x:c>
      <x:c r="H117" s="80" t="n">
        <x:v>283.09</x:v>
      </x:c>
      <x:c r="I117" s="80" t="n">
        <x:f>G117+H117</x:f>
        <x:v>2460.73</x:v>
      </x:c>
      <x:c r="J117" s="56" t="str">
        <x:v>Paid</x:v>
      </x:c>
      <x:c r="K117" s="56" t="str">
        <x:v>Approved</x:v>
      </x:c>
      <x:c r="L117" s="56" t="str">
        <x:f>IF(COUNTIFS($B$2:$B$151,B117,$C$2:$C$151,C117,$I$2:$I$151,I117)&gt;1,"Duplicate Risk","OK")</x:f>
        <x:v>OK</x:v>
      </x:c>
      <x:c r="M117" s="56" t="str">
        <x:f>IF(D117="","Missing PO","Matched")</x:f>
        <x:v>Matched</x:v>
      </x:c>
      <x:c r="N117" s="56" t="str">
        <x:f>IF(ABS(H117-G117*0.13)&lt;=1,"OK","Review Tax")</x:f>
        <x:v>OK</x:v>
      </x:c>
      <x:c r="O117" s="122" t="n">
        <x:f>IF(J117="Paid",0,MAX(0,TODAY()-F117))</x:f>
        <x:v>0</x:v>
      </x:c>
      <x:c r="P117" s="56" t="str">
        <x:f>IF(OR(L117="Duplicate Risk",M117="Missing PO",N117="Review Tax",O117&gt;30,K117&lt;&gt;"Approved"),"High","Low")</x:f>
        <x:v>Low</x:v>
      </x:c>
      <x:c r="Q117" s="57" t="str">
        <x:f>TEXTJOIN("; ",TRUE,IF(L117="Duplicate Risk","Duplicate risk",""),IF(M117="Missing PO","Missing PO",""),IF(N117="Review Tax","Tax variance",""),IF(O117&gt;0,"Overdue",""),IF(K117&lt;&gt;"Approved","Approval issue",""))</x:f>
      </x:c>
    </x:row>
    <x:row r="118">
      <x:c r="A118" s="55" t="str">
        <x:v>AP-0117</x:v>
      </x:c>
      <x:c r="B118" s="56" t="str">
        <x:v>Vendor 23</x:v>
      </x:c>
      <x:c r="C118" s="56" t="str">
        <x:v>INV-30031</x:v>
      </x:c>
      <x:c r="D118" s="56" t="str"/>
      <x:c r="E118" s="76" t="n">
        <x:v>46169</x:v>
      </x:c>
      <x:c r="F118" s="76" t="n">
        <x:v>46214</x:v>
      </x:c>
      <x:c r="G118" s="80" t="n">
        <x:v>3680.13</x:v>
      </x:c>
      <x:c r="H118" s="80" t="n">
        <x:v>478.42</x:v>
      </x:c>
      <x:c r="I118" s="80" t="n">
        <x:f>G118+H118</x:f>
        <x:v>4158.55</x:v>
      </x:c>
      <x:c r="J118" s="56" t="str">
        <x:v>Unpaid</x:v>
      </x:c>
      <x:c r="K118" s="56" t="str">
        <x:v>Approved</x:v>
      </x:c>
      <x:c r="L118" s="56" t="str">
        <x:f>IF(COUNTIFS($B$2:$B$151,B118,$C$2:$C$151,C118,$I$2:$I$151,I118)&gt;1,"Duplicate Risk","OK")</x:f>
        <x:v>OK</x:v>
      </x:c>
      <x:c r="M118" s="56" t="str">
        <x:f>IF(D118="","Missing PO","Matched")</x:f>
        <x:v>Missing PO</x:v>
      </x:c>
      <x:c r="N118" s="56" t="str">
        <x:f>IF(ABS(H118-G118*0.13)&lt;=1,"OK","Review Tax")</x:f>
        <x:v>OK</x:v>
      </x:c>
      <x:c r="O118" s="122" t="n">
        <x:f>IF(J118="Paid",0,MAX(0,TODAY()-F118))</x:f>
        <x:v>18</x:v>
      </x:c>
      <x:c r="P118" s="56" t="str">
        <x:f>IF(OR(L118="Duplicate Risk",M118="Missing PO",N118="Review Tax",O118&gt;30,K118&lt;&gt;"Approved"),"High","Low")</x:f>
        <x:v>High</x:v>
      </x:c>
      <x:c r="Q118" s="57" t="str">
        <x:f>TEXTJOIN("; ",TRUE,IF(L118="Duplicate Risk","Duplicate risk",""),IF(M118="Missing PO","Missing PO",""),IF(N118="Review Tax","Tax variance",""),IF(O118&gt;0,"Overdue",""),IF(K118&lt;&gt;"Approved","Approval issue",""))</x:f>
        <x:v>Missing PO; Overdue</x:v>
      </x:c>
    </x:row>
    <x:row r="119">
      <x:c r="A119" s="55" t="str">
        <x:v>AP-0118</x:v>
      </x:c>
      <x:c r="B119" s="56" t="str">
        <x:v>Vendor 19</x:v>
      </x:c>
      <x:c r="C119" s="56" t="str">
        <x:v>INV-47813</x:v>
      </x:c>
      <x:c r="D119" s="56" t="str">
        <x:v>PO-1021</x:v>
      </x:c>
      <x:c r="E119" s="76" t="n">
        <x:v>46172</x:v>
      </x:c>
      <x:c r="F119" s="76" t="n">
        <x:v>46187</x:v>
      </x:c>
      <x:c r="G119" s="80" t="n">
        <x:v>10897.67</x:v>
      </x:c>
      <x:c r="H119" s="80" t="n">
        <x:v>1417.47</x:v>
      </x:c>
      <x:c r="I119" s="80" t="n">
        <x:f>G119+H119</x:f>
        <x:v>12315.14</x:v>
      </x:c>
      <x:c r="J119" s="56" t="str">
        <x:v>Paid</x:v>
      </x:c>
      <x:c r="K119" s="56" t="str">
        <x:v>Pending</x:v>
      </x:c>
      <x:c r="L119" s="56" t="str">
        <x:f>IF(COUNTIFS($B$2:$B$151,B119,$C$2:$C$151,C119,$I$2:$I$151,I119)&gt;1,"Duplicate Risk","OK")</x:f>
        <x:v>OK</x:v>
      </x:c>
      <x:c r="M119" s="56" t="str">
        <x:f>IF(D119="","Missing PO","Matched")</x:f>
        <x:v>Matched</x:v>
      </x:c>
      <x:c r="N119" s="56" t="str">
        <x:f>IF(ABS(H119-G119*0.13)&lt;=1,"OK","Review Tax")</x:f>
        <x:v>OK</x:v>
      </x:c>
      <x:c r="O119" s="122" t="n">
        <x:f>IF(J119="Paid",0,MAX(0,TODAY()-F119))</x:f>
        <x:v>0</x:v>
      </x:c>
      <x:c r="P119" s="56" t="str">
        <x:f>IF(OR(L119="Duplicate Risk",M119="Missing PO",N119="Review Tax",O119&gt;30,K119&lt;&gt;"Approved"),"High","Low")</x:f>
        <x:v>High</x:v>
      </x:c>
      <x:c r="Q119" s="57" t="str">
        <x:f>TEXTJOIN("; ",TRUE,IF(L119="Duplicate Risk","Duplicate risk",""),IF(M119="Missing PO","Missing PO",""),IF(N119="Review Tax","Tax variance",""),IF(O119&gt;0,"Overdue",""),IF(K119&lt;&gt;"Approved","Approval issue",""))</x:f>
        <x:v>Approval issue</x:v>
      </x:c>
    </x:row>
    <x:row r="120">
      <x:c r="A120" s="55" t="str">
        <x:v>AP-0119</x:v>
      </x:c>
      <x:c r="B120" s="56" t="str">
        <x:v>Vendor 26</x:v>
      </x:c>
      <x:c r="C120" s="56" t="str">
        <x:v>INV-41935</x:v>
      </x:c>
      <x:c r="D120" s="56" t="str">
        <x:v>PO-1071</x:v>
      </x:c>
      <x:c r="E120" s="76" t="n">
        <x:v>46151</x:v>
      </x:c>
      <x:c r="F120" s="76" t="n">
        <x:v>46181</x:v>
      </x:c>
      <x:c r="G120" s="80" t="n">
        <x:v>4919.37</x:v>
      </x:c>
      <x:c r="H120" s="80" t="n">
        <x:v>639.52</x:v>
      </x:c>
      <x:c r="I120" s="80" t="n">
        <x:f>G120+H120</x:f>
        <x:v>5558.889999999999</x:v>
      </x:c>
      <x:c r="J120" s="56" t="str">
        <x:v>On Hold</x:v>
      </x:c>
      <x:c r="K120" s="56" t="str">
        <x:v>Approved</x:v>
      </x:c>
      <x:c r="L120" s="56" t="str">
        <x:f>IF(COUNTIFS($B$2:$B$151,B120,$C$2:$C$151,C120,$I$2:$I$151,I120)&gt;1,"Duplicate Risk","OK")</x:f>
        <x:v>OK</x:v>
      </x:c>
      <x:c r="M120" s="56" t="str">
        <x:f>IF(D120="","Missing PO","Matched")</x:f>
        <x:v>Matched</x:v>
      </x:c>
      <x:c r="N120" s="56" t="str">
        <x:f>IF(ABS(H120-G120*0.13)&lt;=1,"OK","Review Tax")</x:f>
        <x:v>OK</x:v>
      </x:c>
      <x:c r="O120" s="122" t="n">
        <x:f>IF(J120="Paid",0,MAX(0,TODAY()-F120))</x:f>
        <x:v>51</x:v>
      </x:c>
      <x:c r="P120" s="56" t="str">
        <x:f>IF(OR(L120="Duplicate Risk",M120="Missing PO",N120="Review Tax",O120&gt;30,K120&lt;&gt;"Approved"),"High","Low")</x:f>
        <x:v>High</x:v>
      </x:c>
      <x:c r="Q120" s="57" t="str">
        <x:f>TEXTJOIN("; ",TRUE,IF(L120="Duplicate Risk","Duplicate risk",""),IF(M120="Missing PO","Missing PO",""),IF(N120="Review Tax","Tax variance",""),IF(O120&gt;0,"Overdue",""),IF(K120&lt;&gt;"Approved","Approval issue",""))</x:f>
        <x:v>Overdue</x:v>
      </x:c>
    </x:row>
    <x:row r="121">
      <x:c r="A121" s="55" t="str">
        <x:v>AP-0120</x:v>
      </x:c>
      <x:c r="B121" s="56" t="str">
        <x:v>Vendor 15</x:v>
      </x:c>
      <x:c r="C121" s="56" t="str">
        <x:v>INV-31116</x:v>
      </x:c>
      <x:c r="D121" s="56" t="str">
        <x:v>PO-1010</x:v>
      </x:c>
      <x:c r="E121" s="76" t="n">
        <x:v>46190</x:v>
      </x:c>
      <x:c r="F121" s="76" t="n">
        <x:v>46220</x:v>
      </x:c>
      <x:c r="G121" s="80" t="n">
        <x:v>4111.14</x:v>
      </x:c>
      <x:c r="H121" s="80" t="n">
        <x:v>537.02</x:v>
      </x:c>
      <x:c r="I121" s="80" t="n">
        <x:f>G121+H121</x:f>
        <x:v>4648.16</x:v>
      </x:c>
      <x:c r="J121" s="56" t="str">
        <x:v>Unpaid</x:v>
      </x:c>
      <x:c r="K121" s="56" t="str">
        <x:v>Rejected</x:v>
      </x:c>
      <x:c r="L121" s="56" t="str">
        <x:f>IF(COUNTIFS($B$2:$B$151,B121,$C$2:$C$151,C121,$I$2:$I$151,I121)&gt;1,"Duplicate Risk","OK")</x:f>
        <x:v>OK</x:v>
      </x:c>
      <x:c r="M121" s="56" t="str">
        <x:f>IF(D121="","Missing PO","Matched")</x:f>
        <x:v>Matched</x:v>
      </x:c>
      <x:c r="N121" s="56" t="str">
        <x:f>IF(ABS(H121-G121*0.13)&lt;=1,"OK","Review Tax")</x:f>
        <x:v>Review Tax</x:v>
      </x:c>
      <x:c r="O121" s="122" t="n">
        <x:f>IF(J121="Paid",0,MAX(0,TODAY()-F121))</x:f>
        <x:v>12</x:v>
      </x:c>
      <x:c r="P121" s="56" t="str">
        <x:f>IF(OR(L121="Duplicate Risk",M121="Missing PO",N121="Review Tax",O121&gt;30,K121&lt;&gt;"Approved"),"High","Low")</x:f>
        <x:v>High</x:v>
      </x:c>
      <x:c r="Q121" s="57" t="str">
        <x:f>TEXTJOIN("; ",TRUE,IF(L121="Duplicate Risk","Duplicate risk",""),IF(M121="Missing PO","Missing PO",""),IF(N121="Review Tax","Tax variance",""),IF(O121&gt;0,"Overdue",""),IF(K121&lt;&gt;"Approved","Approval issue",""))</x:f>
        <x:v>Tax variance; Overdue; Approval issue</x:v>
      </x:c>
    </x:row>
    <x:row r="122">
      <x:c r="A122" s="55" t="str">
        <x:v>AP-0121</x:v>
      </x:c>
      <x:c r="B122" s="56" t="str">
        <x:v>Vendor 24</x:v>
      </x:c>
      <x:c r="C122" s="56" t="str">
        <x:v>INV-29277</x:v>
      </x:c>
      <x:c r="D122" s="56" t="str"/>
      <x:c r="E122" s="76" t="n">
        <x:v>46178</x:v>
      </x:c>
      <x:c r="F122" s="76" t="n">
        <x:v>46223</x:v>
      </x:c>
      <x:c r="G122" s="80" t="n">
        <x:v>420.81</x:v>
      </x:c>
      <x:c r="H122" s="80" t="n">
        <x:v>54.71</x:v>
      </x:c>
      <x:c r="I122" s="80" t="n">
        <x:f>G122+H122</x:f>
        <x:v>475.52</x:v>
      </x:c>
      <x:c r="J122" s="56" t="str">
        <x:v>Unpaid</x:v>
      </x:c>
      <x:c r="K122" s="56" t="str">
        <x:v>Pending</x:v>
      </x:c>
      <x:c r="L122" s="56" t="str">
        <x:f>IF(COUNTIFS($B$2:$B$151,B122,$C$2:$C$151,C122,$I$2:$I$151,I122)&gt;1,"Duplicate Risk","OK")</x:f>
        <x:v>OK</x:v>
      </x:c>
      <x:c r="M122" s="56" t="str">
        <x:f>IF(D122="","Missing PO","Matched")</x:f>
        <x:v>Missing PO</x:v>
      </x:c>
      <x:c r="N122" s="56" t="str">
        <x:f>IF(ABS(H122-G122*0.13)&lt;=1,"OK","Review Tax")</x:f>
        <x:v>OK</x:v>
      </x:c>
      <x:c r="O122" s="122" t="n">
        <x:f>IF(J122="Paid",0,MAX(0,TODAY()-F122))</x:f>
        <x:v>9</x:v>
      </x:c>
      <x:c r="P122" s="56" t="str">
        <x:f>IF(OR(L122="Duplicate Risk",M122="Missing PO",N122="Review Tax",O122&gt;30,K122&lt;&gt;"Approved"),"High","Low")</x:f>
        <x:v>High</x:v>
      </x:c>
      <x:c r="Q122" s="57" t="str">
        <x:f>TEXTJOIN("; ",TRUE,IF(L122="Duplicate Risk","Duplicate risk",""),IF(M122="Missing PO","Missing PO",""),IF(N122="Review Tax","Tax variance",""),IF(O122&gt;0,"Overdue",""),IF(K122&lt;&gt;"Approved","Approval issue",""))</x:f>
        <x:v>Missing PO; Overdue; Approval issue</x:v>
      </x:c>
    </x:row>
    <x:row r="123">
      <x:c r="A123" s="55" t="str">
        <x:v>AP-0122</x:v>
      </x:c>
      <x:c r="B123" s="56" t="str">
        <x:v>Vendor 13</x:v>
      </x:c>
      <x:c r="C123" s="56" t="str">
        <x:v>INV-21862</x:v>
      </x:c>
      <x:c r="D123" s="56" t="str">
        <x:v>PO-1092</x:v>
      </x:c>
      <x:c r="E123" s="76" t="n">
        <x:v>46198</x:v>
      </x:c>
      <x:c r="F123" s="76" t="n">
        <x:v>46213</x:v>
      </x:c>
      <x:c r="G123" s="80" t="n">
        <x:v>7832.83</x:v>
      </x:c>
      <x:c r="H123" s="80" t="n">
        <x:v>1018.27</x:v>
      </x:c>
      <x:c r="I123" s="80" t="n">
        <x:f>G123+H123</x:f>
        <x:v>8851.1</x:v>
      </x:c>
      <x:c r="J123" s="56" t="str">
        <x:v>On Hold</x:v>
      </x:c>
      <x:c r="K123" s="56" t="str">
        <x:v>Approved</x:v>
      </x:c>
      <x:c r="L123" s="56" t="str">
        <x:f>IF(COUNTIFS($B$2:$B$151,B123,$C$2:$C$151,C123,$I$2:$I$151,I123)&gt;1,"Duplicate Risk","OK")</x:f>
        <x:v>OK</x:v>
      </x:c>
      <x:c r="M123" s="56" t="str">
        <x:f>IF(D123="","Missing PO","Matched")</x:f>
        <x:v>Matched</x:v>
      </x:c>
      <x:c r="N123" s="56" t="str">
        <x:f>IF(ABS(H123-G123*0.13)&lt;=1,"OK","Review Tax")</x:f>
        <x:v>OK</x:v>
      </x:c>
      <x:c r="O123" s="122" t="n">
        <x:f>IF(J123="Paid",0,MAX(0,TODAY()-F123))</x:f>
        <x:v>19</x:v>
      </x:c>
      <x:c r="P123" s="56" t="str">
        <x:f>IF(OR(L123="Duplicate Risk",M123="Missing PO",N123="Review Tax",O123&gt;30,K123&lt;&gt;"Approved"),"High","Low")</x:f>
        <x:v>Low</x:v>
      </x:c>
      <x:c r="Q123" s="57" t="str">
        <x:f>TEXTJOIN("; ",TRUE,IF(L123="Duplicate Risk","Duplicate risk",""),IF(M123="Missing PO","Missing PO",""),IF(N123="Review Tax","Tax variance",""),IF(O123&gt;0,"Overdue",""),IF(K123&lt;&gt;"Approved","Approval issue",""))</x:f>
        <x:v>Overdue</x:v>
      </x:c>
    </x:row>
    <x:row r="124">
      <x:c r="A124" s="55" t="str">
        <x:v>AP-0123</x:v>
      </x:c>
      <x:c r="B124" s="56" t="str">
        <x:v>Vendor 10</x:v>
      </x:c>
      <x:c r="C124" s="56" t="str">
        <x:v>INV-40551</x:v>
      </x:c>
      <x:c r="D124" s="56" t="str"/>
      <x:c r="E124" s="76" t="n">
        <x:v>46152</x:v>
      </x:c>
      <x:c r="F124" s="76" t="n">
        <x:v>46167</x:v>
      </x:c>
      <x:c r="G124" s="80" t="n">
        <x:v>10315.57</x:v>
      </x:c>
      <x:c r="H124" s="80" t="n">
        <x:v>1341.02</x:v>
      </x:c>
      <x:c r="I124" s="80" t="n">
        <x:f>G124+H124</x:f>
        <x:v>11656.59</x:v>
      </x:c>
      <x:c r="J124" s="56" t="str">
        <x:v>Paid</x:v>
      </x:c>
      <x:c r="K124" s="56" t="str">
        <x:v>Approved</x:v>
      </x:c>
      <x:c r="L124" s="56" t="str">
        <x:f>IF(COUNTIFS($B$2:$B$151,B124,$C$2:$C$151,C124,$I$2:$I$151,I124)&gt;1,"Duplicate Risk","OK")</x:f>
        <x:v>OK</x:v>
      </x:c>
      <x:c r="M124" s="56" t="str">
        <x:f>IF(D124="","Missing PO","Matched")</x:f>
        <x:v>Missing PO</x:v>
      </x:c>
      <x:c r="N124" s="56" t="str">
        <x:f>IF(ABS(H124-G124*0.13)&lt;=1,"OK","Review Tax")</x:f>
        <x:v>OK</x:v>
      </x:c>
      <x:c r="O124" s="122" t="n">
        <x:f>IF(J124="Paid",0,MAX(0,TODAY()-F124))</x:f>
        <x:v>0</x:v>
      </x:c>
      <x:c r="P124" s="56" t="str">
        <x:f>IF(OR(L124="Duplicate Risk",M124="Missing PO",N124="Review Tax",O124&gt;30,K124&lt;&gt;"Approved"),"High","Low")</x:f>
        <x:v>High</x:v>
      </x:c>
      <x:c r="Q124" s="57" t="str">
        <x:f>TEXTJOIN("; ",TRUE,IF(L124="Duplicate Risk","Duplicate risk",""),IF(M124="Missing PO","Missing PO",""),IF(N124="Review Tax","Tax variance",""),IF(O124&gt;0,"Overdue",""),IF(K124&lt;&gt;"Approved","Approval issue",""))</x:f>
        <x:v>Missing PO</x:v>
      </x:c>
    </x:row>
    <x:row r="125">
      <x:c r="A125" s="55" t="str">
        <x:v>AP-0124</x:v>
      </x:c>
      <x:c r="B125" s="56" t="str">
        <x:v>Vendor 29</x:v>
      </x:c>
      <x:c r="C125" s="56" t="str">
        <x:v>INV-43850</x:v>
      </x:c>
      <x:c r="D125" s="56" t="str">
        <x:v>PO-1020</x:v>
      </x:c>
      <x:c r="E125" s="76" t="n">
        <x:v>46169</x:v>
      </x:c>
      <x:c r="F125" s="76" t="n">
        <x:v>46214</x:v>
      </x:c>
      <x:c r="G125" s="80" t="n">
        <x:v>2233.71</x:v>
      </x:c>
      <x:c r="H125" s="80" t="n">
        <x:v>290.38</x:v>
      </x:c>
      <x:c r="I125" s="80" t="n">
        <x:f>G125+H125</x:f>
        <x:v>2524.09</x:v>
      </x:c>
      <x:c r="J125" s="56" t="str">
        <x:v>On Hold</x:v>
      </x:c>
      <x:c r="K125" s="56" t="str">
        <x:v>Approved</x:v>
      </x:c>
      <x:c r="L125" s="56" t="str">
        <x:f>IF(COUNTIFS($B$2:$B$151,B125,$C$2:$C$151,C125,$I$2:$I$151,I125)&gt;1,"Duplicate Risk","OK")</x:f>
        <x:v>OK</x:v>
      </x:c>
      <x:c r="M125" s="56" t="str">
        <x:f>IF(D125="","Missing PO","Matched")</x:f>
        <x:v>Matched</x:v>
      </x:c>
      <x:c r="N125" s="56" t="str">
        <x:f>IF(ABS(H125-G125*0.13)&lt;=1,"OK","Review Tax")</x:f>
        <x:v>OK</x:v>
      </x:c>
      <x:c r="O125" s="122" t="n">
        <x:f>IF(J125="Paid",0,MAX(0,TODAY()-F125))</x:f>
        <x:v>18</x:v>
      </x:c>
      <x:c r="P125" s="56" t="str">
        <x:f>IF(OR(L125="Duplicate Risk",M125="Missing PO",N125="Review Tax",O125&gt;30,K125&lt;&gt;"Approved"),"High","Low")</x:f>
        <x:v>Low</x:v>
      </x:c>
      <x:c r="Q125" s="57" t="str">
        <x:f>TEXTJOIN("; ",TRUE,IF(L125="Duplicate Risk","Duplicate risk",""),IF(M125="Missing PO","Missing PO",""),IF(N125="Review Tax","Tax variance",""),IF(O125&gt;0,"Overdue",""),IF(K125&lt;&gt;"Approved","Approval issue",""))</x:f>
        <x:v>Overdue</x:v>
      </x:c>
    </x:row>
    <x:row r="126">
      <x:c r="A126" s="55" t="str">
        <x:v>AP-0125</x:v>
      </x:c>
      <x:c r="B126" s="56" t="str">
        <x:v>Vendor 3</x:v>
      </x:c>
      <x:c r="C126" s="56" t="str">
        <x:v>INV-44109</x:v>
      </x:c>
      <x:c r="D126" s="56" t="str">
        <x:v>PO-1057</x:v>
      </x:c>
      <x:c r="E126" s="76" t="n">
        <x:v>46184</x:v>
      </x:c>
      <x:c r="F126" s="76" t="n">
        <x:v>46214</x:v>
      </x:c>
      <x:c r="G126" s="80" t="n">
        <x:v>10022.73</x:v>
      </x:c>
      <x:c r="H126" s="80" t="n">
        <x:v>1302.95</x:v>
      </x:c>
      <x:c r="I126" s="80" t="n">
        <x:f>G126+H126</x:f>
        <x:v>11325.68</x:v>
      </x:c>
      <x:c r="J126" s="56" t="str">
        <x:v>Unpaid</x:v>
      </x:c>
      <x:c r="K126" s="56" t="str">
        <x:v>Pending</x:v>
      </x:c>
      <x:c r="L126" s="56" t="str">
        <x:f>IF(COUNTIFS($B$2:$B$151,B126,$C$2:$C$151,C126,$I$2:$I$151,I126)&gt;1,"Duplicate Risk","OK")</x:f>
        <x:v>OK</x:v>
      </x:c>
      <x:c r="M126" s="56" t="str">
        <x:f>IF(D126="","Missing PO","Matched")</x:f>
        <x:v>Matched</x:v>
      </x:c>
      <x:c r="N126" s="56" t="str">
        <x:f>IF(ABS(H126-G126*0.13)&lt;=1,"OK","Review Tax")</x:f>
        <x:v>OK</x:v>
      </x:c>
      <x:c r="O126" s="122" t="n">
        <x:f>IF(J126="Paid",0,MAX(0,TODAY()-F126))</x:f>
        <x:v>18</x:v>
      </x:c>
      <x:c r="P126" s="56" t="str">
        <x:f>IF(OR(L126="Duplicate Risk",M126="Missing PO",N126="Review Tax",O126&gt;30,K126&lt;&gt;"Approved"),"High","Low")</x:f>
        <x:v>High</x:v>
      </x:c>
      <x:c r="Q126" s="57" t="str">
        <x:f>TEXTJOIN("; ",TRUE,IF(L126="Duplicate Risk","Duplicate risk",""),IF(M126="Missing PO","Missing PO",""),IF(N126="Review Tax","Tax variance",""),IF(O126&gt;0,"Overdue",""),IF(K126&lt;&gt;"Approved","Approval issue",""))</x:f>
        <x:v>Overdue; Approval issue</x:v>
      </x:c>
    </x:row>
    <x:row r="127">
      <x:c r="A127" s="55" t="str">
        <x:v>AP-0126</x:v>
      </x:c>
      <x:c r="B127" s="56" t="str">
        <x:v>Vendor 23</x:v>
      </x:c>
      <x:c r="C127" s="56" t="str">
        <x:v>INV-35810</x:v>
      </x:c>
      <x:c r="D127" s="56" t="str">
        <x:v>PO-1032</x:v>
      </x:c>
      <x:c r="E127" s="76" t="n">
        <x:v>46153</x:v>
      </x:c>
      <x:c r="F127" s="76" t="n">
        <x:v>46183</x:v>
      </x:c>
      <x:c r="G127" s="80" t="n">
        <x:v>4773.53</x:v>
      </x:c>
      <x:c r="H127" s="80" t="n">
        <x:v>620.56</x:v>
      </x:c>
      <x:c r="I127" s="80" t="n">
        <x:f>G127+H127</x:f>
        <x:v>5394.09</x:v>
      </x:c>
      <x:c r="J127" s="56" t="str">
        <x:v>Paid</x:v>
      </x:c>
      <x:c r="K127" s="56" t="str">
        <x:v>Rejected</x:v>
      </x:c>
      <x:c r="L127" s="56" t="str">
        <x:f>IF(COUNTIFS($B$2:$B$151,B127,$C$2:$C$151,C127,$I$2:$I$151,I127)&gt;1,"Duplicate Risk","OK")</x:f>
        <x:v>OK</x:v>
      </x:c>
      <x:c r="M127" s="56" t="str">
        <x:f>IF(D127="","Missing PO","Matched")</x:f>
        <x:v>Matched</x:v>
      </x:c>
      <x:c r="N127" s="56" t="str">
        <x:f>IF(ABS(H127-G127*0.13)&lt;=1,"OK","Review Tax")</x:f>
        <x:v>OK</x:v>
      </x:c>
      <x:c r="O127" s="122" t="n">
        <x:f>IF(J127="Paid",0,MAX(0,TODAY()-F127))</x:f>
        <x:v>0</x:v>
      </x:c>
      <x:c r="P127" s="56" t="str">
        <x:f>IF(OR(L127="Duplicate Risk",M127="Missing PO",N127="Review Tax",O127&gt;30,K127&lt;&gt;"Approved"),"High","Low")</x:f>
        <x:v>High</x:v>
      </x:c>
      <x:c r="Q127" s="57" t="str">
        <x:f>TEXTJOIN("; ",TRUE,IF(L127="Duplicate Risk","Duplicate risk",""),IF(M127="Missing PO","Missing PO",""),IF(N127="Review Tax","Tax variance",""),IF(O127&gt;0,"Overdue",""),IF(K127&lt;&gt;"Approved","Approval issue",""))</x:f>
        <x:v>Approval issue</x:v>
      </x:c>
    </x:row>
    <x:row r="128">
      <x:c r="A128" s="55" t="str">
        <x:v>AP-0127</x:v>
      </x:c>
      <x:c r="B128" s="56" t="str">
        <x:v>Vendor 7</x:v>
      </x:c>
      <x:c r="C128" s="56" t="str">
        <x:v>INV-47325</x:v>
      </x:c>
      <x:c r="D128" s="56" t="str"/>
      <x:c r="E128" s="76" t="n">
        <x:v>46197</x:v>
      </x:c>
      <x:c r="F128" s="76" t="n">
        <x:v>46242</x:v>
      </x:c>
      <x:c r="G128" s="80" t="n">
        <x:v>6456.53</x:v>
      </x:c>
      <x:c r="H128" s="80" t="n">
        <x:v>839.35</x:v>
      </x:c>
      <x:c r="I128" s="80" t="n">
        <x:f>G128+H128</x:f>
        <x:v>7295.88</x:v>
      </x:c>
      <x:c r="J128" s="56" t="str">
        <x:v>Unpaid</x:v>
      </x:c>
      <x:c r="K128" s="56" t="str">
        <x:v>Rejected</x:v>
      </x:c>
      <x:c r="L128" s="56" t="str">
        <x:f>IF(COUNTIFS($B$2:$B$151,B128,$C$2:$C$151,C128,$I$2:$I$151,I128)&gt;1,"Duplicate Risk","OK")</x:f>
        <x:v>OK</x:v>
      </x:c>
      <x:c r="M128" s="56" t="str">
        <x:f>IF(D128="","Missing PO","Matched")</x:f>
        <x:v>Missing PO</x:v>
      </x:c>
      <x:c r="N128" s="56" t="str">
        <x:f>IF(ABS(H128-G128*0.13)&lt;=1,"OK","Review Tax")</x:f>
        <x:v>OK</x:v>
      </x:c>
      <x:c r="O128" s="122" t="n">
        <x:f>IF(J128="Paid",0,MAX(0,TODAY()-F128))</x:f>
        <x:v>0</x:v>
      </x:c>
      <x:c r="P128" s="56" t="str">
        <x:f>IF(OR(L128="Duplicate Risk",M128="Missing PO",N128="Review Tax",O128&gt;30,K128&lt;&gt;"Approved"),"High","Low")</x:f>
        <x:v>High</x:v>
      </x:c>
      <x:c r="Q128" s="57" t="str">
        <x:f>TEXTJOIN("; ",TRUE,IF(L128="Duplicate Risk","Duplicate risk",""),IF(M128="Missing PO","Missing PO",""),IF(N128="Review Tax","Tax variance",""),IF(O128&gt;0,"Overdue",""),IF(K128&lt;&gt;"Approved","Approval issue",""))</x:f>
        <x:v>Missing PO; Approval issue</x:v>
      </x:c>
    </x:row>
    <x:row r="129">
      <x:c r="A129" s="55" t="str">
        <x:v>AP-0128</x:v>
      </x:c>
      <x:c r="B129" s="56" t="str">
        <x:v>Vendor 18</x:v>
      </x:c>
      <x:c r="C129" s="56" t="str">
        <x:v>INV-25285</x:v>
      </x:c>
      <x:c r="D129" s="56" t="str"/>
      <x:c r="E129" s="76" t="n">
        <x:v>46161</x:v>
      </x:c>
      <x:c r="F129" s="76" t="n">
        <x:v>46191</x:v>
      </x:c>
      <x:c r="G129" s="80" t="n">
        <x:v>8451.52</x:v>
      </x:c>
      <x:c r="H129" s="80" t="n">
        <x:v>1098.7</x:v>
      </x:c>
      <x:c r="I129" s="80" t="n">
        <x:f>G129+H129</x:f>
        <x:v>9550.220000000001</x:v>
      </x:c>
      <x:c r="J129" s="56" t="str">
        <x:v>Unpaid</x:v>
      </x:c>
      <x:c r="K129" s="56" t="str">
        <x:v>Approved</x:v>
      </x:c>
      <x:c r="L129" s="56" t="str">
        <x:f>IF(COUNTIFS($B$2:$B$151,B129,$C$2:$C$151,C129,$I$2:$I$151,I129)&gt;1,"Duplicate Risk","OK")</x:f>
        <x:v>OK</x:v>
      </x:c>
      <x:c r="M129" s="56" t="str">
        <x:f>IF(D129="","Missing PO","Matched")</x:f>
        <x:v>Missing PO</x:v>
      </x:c>
      <x:c r="N129" s="56" t="str">
        <x:f>IF(ABS(H129-G129*0.13)&lt;=1,"OK","Review Tax")</x:f>
        <x:v>OK</x:v>
      </x:c>
      <x:c r="O129" s="122" t="n">
        <x:f>IF(J129="Paid",0,MAX(0,TODAY()-F129))</x:f>
        <x:v>41</x:v>
      </x:c>
      <x:c r="P129" s="56" t="str">
        <x:f>IF(OR(L129="Duplicate Risk",M129="Missing PO",N129="Review Tax",O129&gt;30,K129&lt;&gt;"Approved"),"High","Low")</x:f>
        <x:v>High</x:v>
      </x:c>
      <x:c r="Q129" s="57" t="str">
        <x:f>TEXTJOIN("; ",TRUE,IF(L129="Duplicate Risk","Duplicate risk",""),IF(M129="Missing PO","Missing PO",""),IF(N129="Review Tax","Tax variance",""),IF(O129&gt;0,"Overdue",""),IF(K129&lt;&gt;"Approved","Approval issue",""))</x:f>
        <x:v>Missing PO; Overdue</x:v>
      </x:c>
    </x:row>
    <x:row r="130">
      <x:c r="A130" s="55" t="str">
        <x:v>AP-0129</x:v>
      </x:c>
      <x:c r="B130" s="56" t="str">
        <x:v>Vendor 23</x:v>
      </x:c>
      <x:c r="C130" s="56" t="str">
        <x:v>INV-31476</x:v>
      </x:c>
      <x:c r="D130" s="56" t="str">
        <x:v>PO-1007</x:v>
      </x:c>
      <x:c r="E130" s="76" t="n">
        <x:v>46143</x:v>
      </x:c>
      <x:c r="F130" s="76" t="n">
        <x:v>46173</x:v>
      </x:c>
      <x:c r="G130" s="80" t="n">
        <x:v>9696.59</x:v>
      </x:c>
      <x:c r="H130" s="80" t="n">
        <x:v>1260.56</x:v>
      </x:c>
      <x:c r="I130" s="80" t="n">
        <x:f>G130+H130</x:f>
        <x:v>10957.15</x:v>
      </x:c>
      <x:c r="J130" s="56" t="str">
        <x:v>Unpaid</x:v>
      </x:c>
      <x:c r="K130" s="56" t="str">
        <x:v>Rejected</x:v>
      </x:c>
      <x:c r="L130" s="56" t="str">
        <x:f>IF(COUNTIFS($B$2:$B$151,B130,$C$2:$C$151,C130,$I$2:$I$151,I130)&gt;1,"Duplicate Risk","OK")</x:f>
        <x:v>OK</x:v>
      </x:c>
      <x:c r="M130" s="56" t="str">
        <x:f>IF(D130="","Missing PO","Matched")</x:f>
        <x:v>Matched</x:v>
      </x:c>
      <x:c r="N130" s="56" t="str">
        <x:f>IF(ABS(H130-G130*0.13)&lt;=1,"OK","Review Tax")</x:f>
        <x:v>OK</x:v>
      </x:c>
      <x:c r="O130" s="122" t="n">
        <x:f>IF(J130="Paid",0,MAX(0,TODAY()-F130))</x:f>
        <x:v>59</x:v>
      </x:c>
      <x:c r="P130" s="56" t="str">
        <x:f>IF(OR(L130="Duplicate Risk",M130="Missing PO",N130="Review Tax",O130&gt;30,K130&lt;&gt;"Approved"),"High","Low")</x:f>
        <x:v>High</x:v>
      </x:c>
      <x:c r="Q130" s="57" t="str">
        <x:f>TEXTJOIN("; ",TRUE,IF(L130="Duplicate Risk","Duplicate risk",""),IF(M130="Missing PO","Missing PO",""),IF(N130="Review Tax","Tax variance",""),IF(O130&gt;0,"Overdue",""),IF(K130&lt;&gt;"Approved","Approval issue",""))</x:f>
        <x:v>Overdue; Approval issue</x:v>
      </x:c>
    </x:row>
    <x:row r="131">
      <x:c r="A131" s="55" t="str">
        <x:v>AP-0130</x:v>
      </x:c>
      <x:c r="B131" s="56" t="str">
        <x:v>Vendor 9</x:v>
      </x:c>
      <x:c r="C131" s="56" t="str">
        <x:v>INV-30847</x:v>
      </x:c>
      <x:c r="D131" s="56" t="str">
        <x:v>PO-1050</x:v>
      </x:c>
      <x:c r="E131" s="76" t="n">
        <x:v>46159</x:v>
      </x:c>
      <x:c r="F131" s="76" t="n">
        <x:v>46204</x:v>
      </x:c>
      <x:c r="G131" s="80" t="n">
        <x:v>6673.61</x:v>
      </x:c>
      <x:c r="H131" s="80" t="n">
        <x:v>867.57</x:v>
      </x:c>
      <x:c r="I131" s="80" t="n">
        <x:f>G131+H131</x:f>
        <x:v>7541.179999999999</x:v>
      </x:c>
      <x:c r="J131" s="56" t="str">
        <x:v>On Hold</x:v>
      </x:c>
      <x:c r="K131" s="56" t="str">
        <x:v>Pending</x:v>
      </x:c>
      <x:c r="L131" s="56" t="str">
        <x:f>IF(COUNTIFS($B$2:$B$151,B131,$C$2:$C$151,C131,$I$2:$I$151,I131)&gt;1,"Duplicate Risk","OK")</x:f>
        <x:v>OK</x:v>
      </x:c>
      <x:c r="M131" s="56" t="str">
        <x:f>IF(D131="","Missing PO","Matched")</x:f>
        <x:v>Matched</x:v>
      </x:c>
      <x:c r="N131" s="56" t="str">
        <x:f>IF(ABS(H131-G131*0.13)&lt;=1,"OK","Review Tax")</x:f>
        <x:v>OK</x:v>
      </x:c>
      <x:c r="O131" s="122" t="n">
        <x:f>IF(J131="Paid",0,MAX(0,TODAY()-F131))</x:f>
        <x:v>28</x:v>
      </x:c>
      <x:c r="P131" s="56" t="str">
        <x:f>IF(OR(L131="Duplicate Risk",M131="Missing PO",N131="Review Tax",O131&gt;30,K131&lt;&gt;"Approved"),"High","Low")</x:f>
        <x:v>High</x:v>
      </x:c>
      <x:c r="Q131" s="57" t="str">
        <x:f>TEXTJOIN("; ",TRUE,IF(L131="Duplicate Risk","Duplicate risk",""),IF(M131="Missing PO","Missing PO",""),IF(N131="Review Tax","Tax variance",""),IF(O131&gt;0,"Overdue",""),IF(K131&lt;&gt;"Approved","Approval issue",""))</x:f>
        <x:v>Overdue; Approval issue</x:v>
      </x:c>
    </x:row>
    <x:row r="132">
      <x:c r="A132" s="55" t="str">
        <x:v>AP-0131</x:v>
      </x:c>
      <x:c r="B132" s="56" t="str">
        <x:v>Vendor 13</x:v>
      </x:c>
      <x:c r="C132" s="56" t="str">
        <x:v>INV-38904</x:v>
      </x:c>
      <x:c r="D132" s="56" t="str"/>
      <x:c r="E132" s="76" t="n">
        <x:v>46198</x:v>
      </x:c>
      <x:c r="F132" s="76" t="n">
        <x:v>46243</x:v>
      </x:c>
      <x:c r="G132" s="80" t="n">
        <x:v>4294</x:v>
      </x:c>
      <x:c r="H132" s="80" t="n">
        <x:v>558.22</x:v>
      </x:c>
      <x:c r="I132" s="80" t="n">
        <x:f>G132+H132</x:f>
        <x:v>4852.22</x:v>
      </x:c>
      <x:c r="J132" s="56" t="str">
        <x:v>Paid</x:v>
      </x:c>
      <x:c r="K132" s="56" t="str">
        <x:v>Pending</x:v>
      </x:c>
      <x:c r="L132" s="56" t="str">
        <x:f>IF(COUNTIFS($B$2:$B$151,B132,$C$2:$C$151,C132,$I$2:$I$151,I132)&gt;1,"Duplicate Risk","OK")</x:f>
        <x:v>OK</x:v>
      </x:c>
      <x:c r="M132" s="56" t="str">
        <x:f>IF(D132="","Missing PO","Matched")</x:f>
        <x:v>Missing PO</x:v>
      </x:c>
      <x:c r="N132" s="56" t="str">
        <x:f>IF(ABS(H132-G132*0.13)&lt;=1,"OK","Review Tax")</x:f>
        <x:v>OK</x:v>
      </x:c>
      <x:c r="O132" s="122" t="n">
        <x:f>IF(J132="Paid",0,MAX(0,TODAY()-F132))</x:f>
        <x:v>0</x:v>
      </x:c>
      <x:c r="P132" s="56" t="str">
        <x:f>IF(OR(L132="Duplicate Risk",M132="Missing PO",N132="Review Tax",O132&gt;30,K132&lt;&gt;"Approved"),"High","Low")</x:f>
        <x:v>High</x:v>
      </x:c>
      <x:c r="Q132" s="57" t="str">
        <x:f>TEXTJOIN("; ",TRUE,IF(L132="Duplicate Risk","Duplicate risk",""),IF(M132="Missing PO","Missing PO",""),IF(N132="Review Tax","Tax variance",""),IF(O132&gt;0,"Overdue",""),IF(K132&lt;&gt;"Approved","Approval issue",""))</x:f>
        <x:v>Missing PO; Approval issue</x:v>
      </x:c>
    </x:row>
    <x:row r="133">
      <x:c r="A133" s="55" t="str">
        <x:v>AP-0132</x:v>
      </x:c>
      <x:c r="B133" s="56" t="str">
        <x:v>Vendor 13</x:v>
      </x:c>
      <x:c r="C133" s="56" t="str">
        <x:v>INV-32391</x:v>
      </x:c>
      <x:c r="D133" s="56" t="str"/>
      <x:c r="E133" s="76" t="n">
        <x:v>46156</x:v>
      </x:c>
      <x:c r="F133" s="76" t="n">
        <x:v>46201</x:v>
      </x:c>
      <x:c r="G133" s="80" t="n">
        <x:v>5165.22</x:v>
      </x:c>
      <x:c r="H133" s="80" t="n">
        <x:v>671.48</x:v>
      </x:c>
      <x:c r="I133" s="80" t="n">
        <x:f>G133+H133</x:f>
        <x:v>5836.700000000001</x:v>
      </x:c>
      <x:c r="J133" s="56" t="str">
        <x:v>Unpaid</x:v>
      </x:c>
      <x:c r="K133" s="56" t="str">
        <x:v>Rejected</x:v>
      </x:c>
      <x:c r="L133" s="56" t="str">
        <x:f>IF(COUNTIFS($B$2:$B$151,B133,$C$2:$C$151,C133,$I$2:$I$151,I133)&gt;1,"Duplicate Risk","OK")</x:f>
        <x:v>OK</x:v>
      </x:c>
      <x:c r="M133" s="56" t="str">
        <x:f>IF(D133="","Missing PO","Matched")</x:f>
        <x:v>Missing PO</x:v>
      </x:c>
      <x:c r="N133" s="56" t="str">
        <x:f>IF(ABS(H133-G133*0.13)&lt;=1,"OK","Review Tax")</x:f>
        <x:v>OK</x:v>
      </x:c>
      <x:c r="O133" s="122" t="n">
        <x:f>IF(J133="Paid",0,MAX(0,TODAY()-F133))</x:f>
        <x:v>31</x:v>
      </x:c>
      <x:c r="P133" s="56" t="str">
        <x:f>IF(OR(L133="Duplicate Risk",M133="Missing PO",N133="Review Tax",O133&gt;30,K133&lt;&gt;"Approved"),"High","Low")</x:f>
        <x:v>High</x:v>
      </x:c>
      <x:c r="Q133" s="57" t="str">
        <x:f>TEXTJOIN("; ",TRUE,IF(L133="Duplicate Risk","Duplicate risk",""),IF(M133="Missing PO","Missing PO",""),IF(N133="Review Tax","Tax variance",""),IF(O133&gt;0,"Overdue",""),IF(K133&lt;&gt;"Approved","Approval issue",""))</x:f>
        <x:v>Missing PO; Overdue; Approval issue</x:v>
      </x:c>
    </x:row>
    <x:row r="134">
      <x:c r="A134" s="55" t="str">
        <x:v>AP-0133</x:v>
      </x:c>
      <x:c r="B134" s="56" t="str">
        <x:v>Vendor 17</x:v>
      </x:c>
      <x:c r="C134" s="56" t="str">
        <x:v>INV-33662</x:v>
      </x:c>
      <x:c r="D134" s="56" t="str"/>
      <x:c r="E134" s="76" t="n">
        <x:v>46162</x:v>
      </x:c>
      <x:c r="F134" s="76" t="n">
        <x:v>46207</x:v>
      </x:c>
      <x:c r="G134" s="80" t="n">
        <x:v>4873.37</x:v>
      </x:c>
      <x:c r="H134" s="80" t="n">
        <x:v>633.54</x:v>
      </x:c>
      <x:c r="I134" s="80" t="n">
        <x:f>G134+H134</x:f>
        <x:v>5506.91</x:v>
      </x:c>
      <x:c r="J134" s="56" t="str">
        <x:v>On Hold</x:v>
      </x:c>
      <x:c r="K134" s="56" t="str">
        <x:v>Approved</x:v>
      </x:c>
      <x:c r="L134" s="56" t="str">
        <x:f>IF(COUNTIFS($B$2:$B$151,B134,$C$2:$C$151,C134,$I$2:$I$151,I134)&gt;1,"Duplicate Risk","OK")</x:f>
        <x:v>OK</x:v>
      </x:c>
      <x:c r="M134" s="56" t="str">
        <x:f>IF(D134="","Missing PO","Matched")</x:f>
        <x:v>Missing PO</x:v>
      </x:c>
      <x:c r="N134" s="56" t="str">
        <x:f>IF(ABS(H134-G134*0.13)&lt;=1,"OK","Review Tax")</x:f>
        <x:v>OK</x:v>
      </x:c>
      <x:c r="O134" s="122" t="n">
        <x:f>IF(J134="Paid",0,MAX(0,TODAY()-F134))</x:f>
        <x:v>25</x:v>
      </x:c>
      <x:c r="P134" s="56" t="str">
        <x:f>IF(OR(L134="Duplicate Risk",M134="Missing PO",N134="Review Tax",O134&gt;30,K134&lt;&gt;"Approved"),"High","Low")</x:f>
        <x:v>High</x:v>
      </x:c>
      <x:c r="Q134" s="57" t="str">
        <x:f>TEXTJOIN("; ",TRUE,IF(L134="Duplicate Risk","Duplicate risk",""),IF(M134="Missing PO","Missing PO",""),IF(N134="Review Tax","Tax variance",""),IF(O134&gt;0,"Overdue",""),IF(K134&lt;&gt;"Approved","Approval issue",""))</x:f>
        <x:v>Missing PO; Overdue</x:v>
      </x:c>
    </x:row>
    <x:row r="135">
      <x:c r="A135" s="55" t="str">
        <x:v>AP-0134</x:v>
      </x:c>
      <x:c r="B135" s="56" t="str">
        <x:v>Vendor 6</x:v>
      </x:c>
      <x:c r="C135" s="56" t="str">
        <x:v>INV-31055</x:v>
      </x:c>
      <x:c r="D135" s="56" t="str">
        <x:v>PO-1089</x:v>
      </x:c>
      <x:c r="E135" s="76" t="n">
        <x:v>46193</x:v>
      </x:c>
      <x:c r="F135" s="76" t="n">
        <x:v>46208</x:v>
      </x:c>
      <x:c r="G135" s="80" t="n">
        <x:v>2113.57</x:v>
      </x:c>
      <x:c r="H135" s="80" t="n">
        <x:v>274.76</x:v>
      </x:c>
      <x:c r="I135" s="80" t="n">
        <x:f>G135+H135</x:f>
        <x:v>2388.33</x:v>
      </x:c>
      <x:c r="J135" s="56" t="str">
        <x:v>Unpaid</x:v>
      </x:c>
      <x:c r="K135" s="56" t="str">
        <x:v>Rejected</x:v>
      </x:c>
      <x:c r="L135" s="56" t="str">
        <x:f>IF(COUNTIFS($B$2:$B$151,B135,$C$2:$C$151,C135,$I$2:$I$151,I135)&gt;1,"Duplicate Risk","OK")</x:f>
        <x:v>OK</x:v>
      </x:c>
      <x:c r="M135" s="56" t="str">
        <x:f>IF(D135="","Missing PO","Matched")</x:f>
        <x:v>Matched</x:v>
      </x:c>
      <x:c r="N135" s="56" t="str">
        <x:f>IF(ABS(H135-G135*0.13)&lt;=1,"OK","Review Tax")</x:f>
        <x:v>OK</x:v>
      </x:c>
      <x:c r="O135" s="122" t="n">
        <x:f>IF(J135="Paid",0,MAX(0,TODAY()-F135))</x:f>
        <x:v>24</x:v>
      </x:c>
      <x:c r="P135" s="56" t="str">
        <x:f>IF(OR(L135="Duplicate Risk",M135="Missing PO",N135="Review Tax",O135&gt;30,K135&lt;&gt;"Approved"),"High","Low")</x:f>
        <x:v>High</x:v>
      </x:c>
      <x:c r="Q135" s="57" t="str">
        <x:f>TEXTJOIN("; ",TRUE,IF(L135="Duplicate Risk","Duplicate risk",""),IF(M135="Missing PO","Missing PO",""),IF(N135="Review Tax","Tax variance",""),IF(O135&gt;0,"Overdue",""),IF(K135&lt;&gt;"Approved","Approval issue",""))</x:f>
        <x:v>Overdue; Approval issue</x:v>
      </x:c>
    </x:row>
    <x:row r="136">
      <x:c r="A136" s="55" t="str">
        <x:v>AP-0135</x:v>
      </x:c>
      <x:c r="B136" s="56" t="str">
        <x:v>Vendor 28</x:v>
      </x:c>
      <x:c r="C136" s="56" t="str">
        <x:v>INV-24459</x:v>
      </x:c>
      <x:c r="D136" s="56" t="str"/>
      <x:c r="E136" s="76" t="n">
        <x:v>46179</x:v>
      </x:c>
      <x:c r="F136" s="76" t="n">
        <x:v>46209</x:v>
      </x:c>
      <x:c r="G136" s="80" t="n">
        <x:v>7431.12</x:v>
      </x:c>
      <x:c r="H136" s="80" t="n">
        <x:v>966.05</x:v>
      </x:c>
      <x:c r="I136" s="80" t="n">
        <x:f>G136+H136</x:f>
        <x:v>8397.17</x:v>
      </x:c>
      <x:c r="J136" s="56" t="str">
        <x:v>Unpaid</x:v>
      </x:c>
      <x:c r="K136" s="56" t="str">
        <x:v>Approved</x:v>
      </x:c>
      <x:c r="L136" s="56" t="str">
        <x:f>IF(COUNTIFS($B$2:$B$151,B136,$C$2:$C$151,C136,$I$2:$I$151,I136)&gt;1,"Duplicate Risk","OK")</x:f>
        <x:v>OK</x:v>
      </x:c>
      <x:c r="M136" s="56" t="str">
        <x:f>IF(D136="","Missing PO","Matched")</x:f>
        <x:v>Missing PO</x:v>
      </x:c>
      <x:c r="N136" s="56" t="str">
        <x:f>IF(ABS(H136-G136*0.13)&lt;=1,"OK","Review Tax")</x:f>
        <x:v>OK</x:v>
      </x:c>
      <x:c r="O136" s="122" t="n">
        <x:f>IF(J136="Paid",0,MAX(0,TODAY()-F136))</x:f>
        <x:v>23</x:v>
      </x:c>
      <x:c r="P136" s="56" t="str">
        <x:f>IF(OR(L136="Duplicate Risk",M136="Missing PO",N136="Review Tax",O136&gt;30,K136&lt;&gt;"Approved"),"High","Low")</x:f>
        <x:v>High</x:v>
      </x:c>
      <x:c r="Q136" s="57" t="str">
        <x:f>TEXTJOIN("; ",TRUE,IF(L136="Duplicate Risk","Duplicate risk",""),IF(M136="Missing PO","Missing PO",""),IF(N136="Review Tax","Tax variance",""),IF(O136&gt;0,"Overdue",""),IF(K136&lt;&gt;"Approved","Approval issue",""))</x:f>
        <x:v>Missing PO; Overdue</x:v>
      </x:c>
    </x:row>
    <x:row r="137">
      <x:c r="A137" s="55" t="str">
        <x:v>AP-0136</x:v>
      </x:c>
      <x:c r="B137" s="56" t="str">
        <x:v>Vendor 18</x:v>
      </x:c>
      <x:c r="C137" s="56" t="str">
        <x:v>INV-22744</x:v>
      </x:c>
      <x:c r="D137" s="56" t="str">
        <x:v>PO-1066</x:v>
      </x:c>
      <x:c r="E137" s="76" t="n">
        <x:v>46146</x:v>
      </x:c>
      <x:c r="F137" s="76" t="n">
        <x:v>46161</x:v>
      </x:c>
      <x:c r="G137" s="80" t="n">
        <x:v>8732.94</x:v>
      </x:c>
      <x:c r="H137" s="80" t="n">
        <x:v>1128.77</x:v>
      </x:c>
      <x:c r="I137" s="80" t="n">
        <x:f>G137+H137</x:f>
        <x:v>9861.710000000001</x:v>
      </x:c>
      <x:c r="J137" s="56" t="str">
        <x:v>Unpaid</x:v>
      </x:c>
      <x:c r="K137" s="56" t="str">
        <x:v>Approved</x:v>
      </x:c>
      <x:c r="L137" s="56" t="str">
        <x:f>IF(COUNTIFS($B$2:$B$151,B137,$C$2:$C$151,C137,$I$2:$I$151,I137)&gt;1,"Duplicate Risk","OK")</x:f>
        <x:v>OK</x:v>
      </x:c>
      <x:c r="M137" s="56" t="str">
        <x:f>IF(D137="","Missing PO","Matched")</x:f>
        <x:v>Matched</x:v>
      </x:c>
      <x:c r="N137" s="56" t="str">
        <x:f>IF(ABS(H137-G137*0.13)&lt;=1,"OK","Review Tax")</x:f>
        <x:v>Review Tax</x:v>
      </x:c>
      <x:c r="O137" s="122" t="n">
        <x:f>IF(J137="Paid",0,MAX(0,TODAY()-F137))</x:f>
        <x:v>71</x:v>
      </x:c>
      <x:c r="P137" s="56" t="str">
        <x:f>IF(OR(L137="Duplicate Risk",M137="Missing PO",N137="Review Tax",O137&gt;30,K137&lt;&gt;"Approved"),"High","Low")</x:f>
        <x:v>High</x:v>
      </x:c>
      <x:c r="Q137" s="57" t="str">
        <x:f>TEXTJOIN("; ",TRUE,IF(L137="Duplicate Risk","Duplicate risk",""),IF(M137="Missing PO","Missing PO",""),IF(N137="Review Tax","Tax variance",""),IF(O137&gt;0,"Overdue",""),IF(K137&lt;&gt;"Approved","Approval issue",""))</x:f>
        <x:v>Tax variance; Overdue</x:v>
      </x:c>
    </x:row>
    <x:row r="138">
      <x:c r="A138" s="55" t="str">
        <x:v>AP-0137</x:v>
      </x:c>
      <x:c r="B138" s="56" t="str">
        <x:v>Vendor 7</x:v>
      </x:c>
      <x:c r="C138" s="56" t="str">
        <x:v>INV-22348</x:v>
      </x:c>
      <x:c r="D138" s="56" t="str">
        <x:v>PO-1081</x:v>
      </x:c>
      <x:c r="E138" s="76" t="n">
        <x:v>46155</x:v>
      </x:c>
      <x:c r="F138" s="76" t="n">
        <x:v>46185</x:v>
      </x:c>
      <x:c r="G138" s="80" t="n">
        <x:v>10710.57</x:v>
      </x:c>
      <x:c r="H138" s="80" t="n">
        <x:v>1390.5</x:v>
      </x:c>
      <x:c r="I138" s="80" t="n">
        <x:f>G138+H138</x:f>
        <x:v>12101.07</x:v>
      </x:c>
      <x:c r="J138" s="56" t="str">
        <x:v>Unpaid</x:v>
      </x:c>
      <x:c r="K138" s="56" t="str">
        <x:v>Rejected</x:v>
      </x:c>
      <x:c r="L138" s="56" t="str">
        <x:f>IF(COUNTIFS($B$2:$B$151,B138,$C$2:$C$151,C138,$I$2:$I$151,I138)&gt;1,"Duplicate Risk","OK")</x:f>
        <x:v>OK</x:v>
      </x:c>
      <x:c r="M138" s="56" t="str">
        <x:f>IF(D138="","Missing PO","Matched")</x:f>
        <x:v>Matched</x:v>
      </x:c>
      <x:c r="N138" s="56" t="str">
        <x:f>IF(ABS(H138-G138*0.13)&lt;=1,"OK","Review Tax")</x:f>
        <x:v>Review Tax</x:v>
      </x:c>
      <x:c r="O138" s="122" t="n">
        <x:f>IF(J138="Paid",0,MAX(0,TODAY()-F138))</x:f>
        <x:v>47</x:v>
      </x:c>
      <x:c r="P138" s="56" t="str">
        <x:f>IF(OR(L138="Duplicate Risk",M138="Missing PO",N138="Review Tax",O138&gt;30,K138&lt;&gt;"Approved"),"High","Low")</x:f>
        <x:v>High</x:v>
      </x:c>
      <x:c r="Q138" s="57" t="str">
        <x:f>TEXTJOIN("; ",TRUE,IF(L138="Duplicate Risk","Duplicate risk",""),IF(M138="Missing PO","Missing PO",""),IF(N138="Review Tax","Tax variance",""),IF(O138&gt;0,"Overdue",""),IF(K138&lt;&gt;"Approved","Approval issue",""))</x:f>
        <x:v>Tax variance; Overdue; Approval issue</x:v>
      </x:c>
    </x:row>
    <x:row r="139">
      <x:c r="A139" s="55" t="str">
        <x:v>AP-0138</x:v>
      </x:c>
      <x:c r="B139" s="56" t="str">
        <x:v>Vendor 4</x:v>
      </x:c>
      <x:c r="C139" s="56" t="str">
        <x:v>INV-31053</x:v>
      </x:c>
      <x:c r="D139" s="56" t="str">
        <x:v>PO-1067</x:v>
      </x:c>
      <x:c r="E139" s="76" t="n">
        <x:v>46151</x:v>
      </x:c>
      <x:c r="F139" s="76" t="n">
        <x:v>46181</x:v>
      </x:c>
      <x:c r="G139" s="80" t="n">
        <x:v>1565.27</x:v>
      </x:c>
      <x:c r="H139" s="80" t="n">
        <x:v>203.49</x:v>
      </x:c>
      <x:c r="I139" s="80" t="n">
        <x:f>G139+H139</x:f>
        <x:v>1768.76</x:v>
      </x:c>
      <x:c r="J139" s="56" t="str">
        <x:v>Paid</x:v>
      </x:c>
      <x:c r="K139" s="56" t="str">
        <x:v>Rejected</x:v>
      </x:c>
      <x:c r="L139" s="56" t="str">
        <x:f>IF(COUNTIFS($B$2:$B$151,B139,$C$2:$C$151,C139,$I$2:$I$151,I139)&gt;1,"Duplicate Risk","OK")</x:f>
        <x:v>OK</x:v>
      </x:c>
      <x:c r="M139" s="56" t="str">
        <x:f>IF(D139="","Missing PO","Matched")</x:f>
        <x:v>Matched</x:v>
      </x:c>
      <x:c r="N139" s="56" t="str">
        <x:f>IF(ABS(H139-G139*0.13)&lt;=1,"OK","Review Tax")</x:f>
        <x:v>OK</x:v>
      </x:c>
      <x:c r="O139" s="122" t="n">
        <x:f>IF(J139="Paid",0,MAX(0,TODAY()-F139))</x:f>
        <x:v>0</x:v>
      </x:c>
      <x:c r="P139" s="56" t="str">
        <x:f>IF(OR(L139="Duplicate Risk",M139="Missing PO",N139="Review Tax",O139&gt;30,K139&lt;&gt;"Approved"),"High","Low")</x:f>
        <x:v>High</x:v>
      </x:c>
      <x:c r="Q139" s="57" t="str">
        <x:f>TEXTJOIN("; ",TRUE,IF(L139="Duplicate Risk","Duplicate risk",""),IF(M139="Missing PO","Missing PO",""),IF(N139="Review Tax","Tax variance",""),IF(O139&gt;0,"Overdue",""),IF(K139&lt;&gt;"Approved","Approval issue",""))</x:f>
        <x:v>Approval issue</x:v>
      </x:c>
    </x:row>
    <x:row r="140">
      <x:c r="A140" s="55" t="str">
        <x:v>AP-0139</x:v>
      </x:c>
      <x:c r="B140" s="56" t="str">
        <x:v>Vendor 15</x:v>
      </x:c>
      <x:c r="C140" s="56" t="str">
        <x:v>INV-26636</x:v>
      </x:c>
      <x:c r="D140" s="56" t="str"/>
      <x:c r="E140" s="76" t="n">
        <x:v>46192</x:v>
      </x:c>
      <x:c r="F140" s="76" t="n">
        <x:v>46237</x:v>
      </x:c>
      <x:c r="G140" s="80" t="n">
        <x:v>2992.92</x:v>
      </x:c>
      <x:c r="H140" s="80" t="n">
        <x:v>389.08</x:v>
      </x:c>
      <x:c r="I140" s="80" t="n">
        <x:f>G140+H140</x:f>
        <x:v>3382</x:v>
      </x:c>
      <x:c r="J140" s="56" t="str">
        <x:v>Unpaid</x:v>
      </x:c>
      <x:c r="K140" s="56" t="str">
        <x:v>Rejected</x:v>
      </x:c>
      <x:c r="L140" s="56" t="str">
        <x:f>IF(COUNTIFS($B$2:$B$151,B140,$C$2:$C$151,C140,$I$2:$I$151,I140)&gt;1,"Duplicate Risk","OK")</x:f>
        <x:v>OK</x:v>
      </x:c>
      <x:c r="M140" s="56" t="str">
        <x:f>IF(D140="","Missing PO","Matched")</x:f>
        <x:v>Missing PO</x:v>
      </x:c>
      <x:c r="N140" s="56" t="str">
        <x:f>IF(ABS(H140-G140*0.13)&lt;=1,"OK","Review Tax")</x:f>
        <x:v>OK</x:v>
      </x:c>
      <x:c r="O140" s="122" t="n">
        <x:f>IF(J140="Paid",0,MAX(0,TODAY()-F140))</x:f>
        <x:v>0</x:v>
      </x:c>
      <x:c r="P140" s="56" t="str">
        <x:f>IF(OR(L140="Duplicate Risk",M140="Missing PO",N140="Review Tax",O140&gt;30,K140&lt;&gt;"Approved"),"High","Low")</x:f>
        <x:v>High</x:v>
      </x:c>
      <x:c r="Q140" s="57" t="str">
        <x:f>TEXTJOIN("; ",TRUE,IF(L140="Duplicate Risk","Duplicate risk",""),IF(M140="Missing PO","Missing PO",""),IF(N140="Review Tax","Tax variance",""),IF(O140&gt;0,"Overdue",""),IF(K140&lt;&gt;"Approved","Approval issue",""))</x:f>
        <x:v>Missing PO; Approval issue</x:v>
      </x:c>
    </x:row>
    <x:row r="141">
      <x:c r="A141" s="55" t="str">
        <x:v>AP-0140</x:v>
      </x:c>
      <x:c r="B141" s="56" t="str">
        <x:v>Vendor 20</x:v>
      </x:c>
      <x:c r="C141" s="56" t="str">
        <x:v>INV-44466</x:v>
      </x:c>
      <x:c r="D141" s="56" t="str"/>
      <x:c r="E141" s="76" t="n">
        <x:v>46157</x:v>
      </x:c>
      <x:c r="F141" s="76" t="n">
        <x:v>46202</x:v>
      </x:c>
      <x:c r="G141" s="80" t="n">
        <x:v>1176.39</x:v>
      </x:c>
      <x:c r="H141" s="80" t="n">
        <x:v>157.1</x:v>
      </x:c>
      <x:c r="I141" s="80" t="n">
        <x:f>G141+H141</x:f>
        <x:v>1333.49</x:v>
      </x:c>
      <x:c r="J141" s="56" t="str">
        <x:v>On Hold</x:v>
      </x:c>
      <x:c r="K141" s="56" t="str">
        <x:v>Approved</x:v>
      </x:c>
      <x:c r="L141" s="56" t="str">
        <x:f>IF(COUNTIFS($B$2:$B$151,B141,$C$2:$C$151,C141,$I$2:$I$151,I141)&gt;1,"Duplicate Risk","OK")</x:f>
        <x:v>OK</x:v>
      </x:c>
      <x:c r="M141" s="56" t="str">
        <x:f>IF(D141="","Missing PO","Matched")</x:f>
        <x:v>Missing PO</x:v>
      </x:c>
      <x:c r="N141" s="56" t="str">
        <x:f>IF(ABS(H141-G141*0.13)&lt;=1,"OK","Review Tax")</x:f>
        <x:v>Review Tax</x:v>
      </x:c>
      <x:c r="O141" s="122" t="n">
        <x:f>IF(J141="Paid",0,MAX(0,TODAY()-F141))</x:f>
        <x:v>30</x:v>
      </x:c>
      <x:c r="P141" s="56" t="str">
        <x:f>IF(OR(L141="Duplicate Risk",M141="Missing PO",N141="Review Tax",O141&gt;30,K141&lt;&gt;"Approved"),"High","Low")</x:f>
        <x:v>High</x:v>
      </x:c>
      <x:c r="Q141" s="57" t="str">
        <x:f>TEXTJOIN("; ",TRUE,IF(L141="Duplicate Risk","Duplicate risk",""),IF(M141="Missing PO","Missing PO",""),IF(N141="Review Tax","Tax variance",""),IF(O141&gt;0,"Overdue",""),IF(K141&lt;&gt;"Approved","Approval issue",""))</x:f>
        <x:v>Missing PO; Tax variance; Overdue</x:v>
      </x:c>
    </x:row>
    <x:row r="142">
      <x:c r="A142" s="55" t="str">
        <x:v>AP-0141</x:v>
      </x:c>
      <x:c r="B142" s="56" t="str">
        <x:v>Vendor 17</x:v>
      </x:c>
      <x:c r="C142" s="56" t="str">
        <x:v>INV-23647</x:v>
      </x:c>
      <x:c r="D142" s="56" t="str">
        <x:v>PO-1031</x:v>
      </x:c>
      <x:c r="E142" s="76" t="n">
        <x:v>46162</x:v>
      </x:c>
      <x:c r="F142" s="76" t="n">
        <x:v>46192</x:v>
      </x:c>
      <x:c r="G142" s="80" t="n">
        <x:v>11672.63</x:v>
      </x:c>
      <x:c r="H142" s="80" t="n">
        <x:v>1517.44</x:v>
      </x:c>
      <x:c r="I142" s="80" t="n">
        <x:f>G142+H142</x:f>
        <x:v>13190.07</x:v>
      </x:c>
      <x:c r="J142" s="56" t="str">
        <x:v>Unpaid</x:v>
      </x:c>
      <x:c r="K142" s="56" t="str">
        <x:v>Pending</x:v>
      </x:c>
      <x:c r="L142" s="56" t="str">
        <x:f>IF(COUNTIFS($B$2:$B$151,B142,$C$2:$C$151,C142,$I$2:$I$151,I142)&gt;1,"Duplicate Risk","OK")</x:f>
        <x:v>OK</x:v>
      </x:c>
      <x:c r="M142" s="56" t="str">
        <x:f>IF(D142="","Missing PO","Matched")</x:f>
        <x:v>Matched</x:v>
      </x:c>
      <x:c r="N142" s="56" t="str">
        <x:f>IF(ABS(H142-G142*0.13)&lt;=1,"OK","Review Tax")</x:f>
        <x:v>OK</x:v>
      </x:c>
      <x:c r="O142" s="122" t="n">
        <x:f>IF(J142="Paid",0,MAX(0,TODAY()-F142))</x:f>
        <x:v>40</x:v>
      </x:c>
      <x:c r="P142" s="56" t="str">
        <x:f>IF(OR(L142="Duplicate Risk",M142="Missing PO",N142="Review Tax",O142&gt;30,K142&lt;&gt;"Approved"),"High","Low")</x:f>
        <x:v>High</x:v>
      </x:c>
      <x:c r="Q142" s="57" t="str">
        <x:f>TEXTJOIN("; ",TRUE,IF(L142="Duplicate Risk","Duplicate risk",""),IF(M142="Missing PO","Missing PO",""),IF(N142="Review Tax","Tax variance",""),IF(O142&gt;0,"Overdue",""),IF(K142&lt;&gt;"Approved","Approval issue",""))</x:f>
        <x:v>Overdue; Approval issue</x:v>
      </x:c>
    </x:row>
    <x:row r="143">
      <x:c r="A143" s="55" t="str">
        <x:v>AP-0142</x:v>
      </x:c>
      <x:c r="B143" s="56" t="str">
        <x:v>Vendor 15</x:v>
      </x:c>
      <x:c r="C143" s="56" t="str">
        <x:v>INV-38861</x:v>
      </x:c>
      <x:c r="D143" s="56" t="str">
        <x:v>PO-1041</x:v>
      </x:c>
      <x:c r="E143" s="76" t="n">
        <x:v>46198</x:v>
      </x:c>
      <x:c r="F143" s="76" t="n">
        <x:v>46213</x:v>
      </x:c>
      <x:c r="G143" s="80" t="n">
        <x:v>10926.4</x:v>
      </x:c>
      <x:c r="H143" s="80" t="n">
        <x:v>1420.43</x:v>
      </x:c>
      <x:c r="I143" s="80" t="n">
        <x:f>G143+H143</x:f>
        <x:v>12346.83</x:v>
      </x:c>
      <x:c r="J143" s="56" t="str">
        <x:v>Unpaid</x:v>
      </x:c>
      <x:c r="K143" s="56" t="str">
        <x:v>Rejected</x:v>
      </x:c>
      <x:c r="L143" s="56" t="str">
        <x:f>IF(COUNTIFS($B$2:$B$151,B143,$C$2:$C$151,C143,$I$2:$I$151,I143)&gt;1,"Duplicate Risk","OK")</x:f>
        <x:v>OK</x:v>
      </x:c>
      <x:c r="M143" s="56" t="str">
        <x:f>IF(D143="","Missing PO","Matched")</x:f>
        <x:v>Matched</x:v>
      </x:c>
      <x:c r="N143" s="56" t="str">
        <x:f>IF(ABS(H143-G143*0.13)&lt;=1,"OK","Review Tax")</x:f>
        <x:v>OK</x:v>
      </x:c>
      <x:c r="O143" s="122" t="n">
        <x:f>IF(J143="Paid",0,MAX(0,TODAY()-F143))</x:f>
        <x:v>19</x:v>
      </x:c>
      <x:c r="P143" s="56" t="str">
        <x:f>IF(OR(L143="Duplicate Risk",M143="Missing PO",N143="Review Tax",O143&gt;30,K143&lt;&gt;"Approved"),"High","Low")</x:f>
        <x:v>High</x:v>
      </x:c>
      <x:c r="Q143" s="57" t="str">
        <x:f>TEXTJOIN("; ",TRUE,IF(L143="Duplicate Risk","Duplicate risk",""),IF(M143="Missing PO","Missing PO",""),IF(N143="Review Tax","Tax variance",""),IF(O143&gt;0,"Overdue",""),IF(K143&lt;&gt;"Approved","Approval issue",""))</x:f>
        <x:v>Overdue; Approval issue</x:v>
      </x:c>
    </x:row>
    <x:row r="144">
      <x:c r="A144" s="55" t="str">
        <x:v>AP-0143</x:v>
      </x:c>
      <x:c r="B144" s="56" t="str">
        <x:v>Vendor 9</x:v>
      </x:c>
      <x:c r="C144" s="56" t="str">
        <x:v>INV-30253</x:v>
      </x:c>
      <x:c r="D144" s="56" t="str"/>
      <x:c r="E144" s="76" t="n">
        <x:v>46175</x:v>
      </x:c>
      <x:c r="F144" s="76" t="n">
        <x:v>46220</x:v>
      </x:c>
      <x:c r="G144" s="80" t="n">
        <x:v>8595.81</x:v>
      </x:c>
      <x:c r="H144" s="80" t="n">
        <x:v>1117.46</x:v>
      </x:c>
      <x:c r="I144" s="80" t="n">
        <x:f>G144+H144</x:f>
        <x:v>9713.27</x:v>
      </x:c>
      <x:c r="J144" s="56" t="str">
        <x:v>On Hold</x:v>
      </x:c>
      <x:c r="K144" s="56" t="str">
        <x:v>Approved</x:v>
      </x:c>
      <x:c r="L144" s="56" t="str">
        <x:f>IF(COUNTIFS($B$2:$B$151,B144,$C$2:$C$151,C144,$I$2:$I$151,I144)&gt;1,"Duplicate Risk","OK")</x:f>
        <x:v>Duplicate Risk</x:v>
      </x:c>
      <x:c r="M144" s="56" t="str">
        <x:f>IF(D144="","Missing PO","Matched")</x:f>
        <x:v>Missing PO</x:v>
      </x:c>
      <x:c r="N144" s="56" t="str">
        <x:f>IF(ABS(H144-G144*0.13)&lt;=1,"OK","Review Tax")</x:f>
        <x:v>OK</x:v>
      </x:c>
      <x:c r="O144" s="122" t="n">
        <x:f>IF(J144="Paid",0,MAX(0,TODAY()-F144))</x:f>
        <x:v>12</x:v>
      </x:c>
      <x:c r="P144" s="56" t="str">
        <x:f>IF(OR(L144="Duplicate Risk",M144="Missing PO",N144="Review Tax",O144&gt;30,K144&lt;&gt;"Approved"),"High","Low")</x:f>
        <x:v>High</x:v>
      </x:c>
      <x:c r="Q144" s="57" t="str">
        <x:f>TEXTJOIN("; ",TRUE,IF(L144="Duplicate Risk","Duplicate risk",""),IF(M144="Missing PO","Missing PO",""),IF(N144="Review Tax","Tax variance",""),IF(O144&gt;0,"Overdue",""),IF(K144&lt;&gt;"Approved","Approval issue",""))</x:f>
        <x:v>Duplicate risk; Missing PO; Overdue</x:v>
      </x:c>
    </x:row>
    <x:row r="145">
      <x:c r="A145" s="55" t="str">
        <x:v>AP-0144</x:v>
      </x:c>
      <x:c r="B145" s="56" t="str">
        <x:v>Vendor 6</x:v>
      </x:c>
      <x:c r="C145" s="56" t="str">
        <x:v>INV-25627</x:v>
      </x:c>
      <x:c r="D145" s="56" t="str">
        <x:v>PO-1086</x:v>
      </x:c>
      <x:c r="E145" s="76" t="n">
        <x:v>46178</x:v>
      </x:c>
      <x:c r="F145" s="76" t="n">
        <x:v>46223</x:v>
      </x:c>
      <x:c r="G145" s="80" t="n">
        <x:v>11920.98</x:v>
      </x:c>
      <x:c r="H145" s="80" t="n">
        <x:v>1549.73</x:v>
      </x:c>
      <x:c r="I145" s="80" t="n">
        <x:f>G145+H145</x:f>
        <x:v>13470.71</x:v>
      </x:c>
      <x:c r="J145" s="56" t="str">
        <x:v>On Hold</x:v>
      </x:c>
      <x:c r="K145" s="56" t="str">
        <x:v>Approved</x:v>
      </x:c>
      <x:c r="L145" s="56" t="str">
        <x:f>IF(COUNTIFS($B$2:$B$151,B145,$C$2:$C$151,C145,$I$2:$I$151,I145)&gt;1,"Duplicate Risk","OK")</x:f>
        <x:v>OK</x:v>
      </x:c>
      <x:c r="M145" s="56" t="str">
        <x:f>IF(D145="","Missing PO","Matched")</x:f>
        <x:v>Matched</x:v>
      </x:c>
      <x:c r="N145" s="56" t="str">
        <x:f>IF(ABS(H145-G145*0.13)&lt;=1,"OK","Review Tax")</x:f>
        <x:v>OK</x:v>
      </x:c>
      <x:c r="O145" s="122" t="n">
        <x:f>IF(J145="Paid",0,MAX(0,TODAY()-F145))</x:f>
        <x:v>9</x:v>
      </x:c>
      <x:c r="P145" s="56" t="str">
        <x:f>IF(OR(L145="Duplicate Risk",M145="Missing PO",N145="Review Tax",O145&gt;30,K145&lt;&gt;"Approved"),"High","Low")</x:f>
        <x:v>Low</x:v>
      </x:c>
      <x:c r="Q145" s="57" t="str">
        <x:f>TEXTJOIN("; ",TRUE,IF(L145="Duplicate Risk","Duplicate risk",""),IF(M145="Missing PO","Missing PO",""),IF(N145="Review Tax","Tax variance",""),IF(O145&gt;0,"Overdue",""),IF(K145&lt;&gt;"Approved","Approval issue",""))</x:f>
        <x:v>Overdue</x:v>
      </x:c>
    </x:row>
    <x:row r="146">
      <x:c r="A146" s="55" t="str">
        <x:v>AP-0145</x:v>
      </x:c>
      <x:c r="B146" s="56" t="str">
        <x:v>Vendor 8</x:v>
      </x:c>
      <x:c r="C146" s="56" t="str">
        <x:v>INV-41142</x:v>
      </x:c>
      <x:c r="D146" s="56" t="str">
        <x:v>PO-1025</x:v>
      </x:c>
      <x:c r="E146" s="76" t="n">
        <x:v>46182</x:v>
      </x:c>
      <x:c r="F146" s="76" t="n">
        <x:v>46212</x:v>
      </x:c>
      <x:c r="G146" s="80" t="n">
        <x:v>3356</x:v>
      </x:c>
      <x:c r="H146" s="80" t="n">
        <x:v>436.28</x:v>
      </x:c>
      <x:c r="I146" s="80" t="n">
        <x:f>G146+H146</x:f>
        <x:v>3792.2799999999997</x:v>
      </x:c>
      <x:c r="J146" s="56" t="str">
        <x:v>Paid</x:v>
      </x:c>
      <x:c r="K146" s="56" t="str">
        <x:v>Rejected</x:v>
      </x:c>
      <x:c r="L146" s="56" t="str">
        <x:f>IF(COUNTIFS($B$2:$B$151,B146,$C$2:$C$151,C146,$I$2:$I$151,I146)&gt;1,"Duplicate Risk","OK")</x:f>
        <x:v>OK</x:v>
      </x:c>
      <x:c r="M146" s="56" t="str">
        <x:f>IF(D146="","Missing PO","Matched")</x:f>
        <x:v>Matched</x:v>
      </x:c>
      <x:c r="N146" s="56" t="str">
        <x:f>IF(ABS(H146-G146*0.13)&lt;=1,"OK","Review Tax")</x:f>
        <x:v>OK</x:v>
      </x:c>
      <x:c r="O146" s="122" t="n">
        <x:f>IF(J146="Paid",0,MAX(0,TODAY()-F146))</x:f>
        <x:v>0</x:v>
      </x:c>
      <x:c r="P146" s="56" t="str">
        <x:f>IF(OR(L146="Duplicate Risk",M146="Missing PO",N146="Review Tax",O146&gt;30,K146&lt;&gt;"Approved"),"High","Low")</x:f>
        <x:v>High</x:v>
      </x:c>
      <x:c r="Q146" s="57" t="str">
        <x:f>TEXTJOIN("; ",TRUE,IF(L146="Duplicate Risk","Duplicate risk",""),IF(M146="Missing PO","Missing PO",""),IF(N146="Review Tax","Tax variance",""),IF(O146&gt;0,"Overdue",""),IF(K146&lt;&gt;"Approved","Approval issue",""))</x:f>
        <x:v>Approval issue</x:v>
      </x:c>
    </x:row>
    <x:row r="147">
      <x:c r="A147" s="55" t="str">
        <x:v>AP-0146</x:v>
      </x:c>
      <x:c r="B147" s="56" t="str">
        <x:v>Vendor 20</x:v>
      </x:c>
      <x:c r="C147" s="56" t="str">
        <x:v>INV-32290</x:v>
      </x:c>
      <x:c r="D147" s="56" t="str"/>
      <x:c r="E147" s="76" t="n">
        <x:v>46152</x:v>
      </x:c>
      <x:c r="F147" s="76" t="n">
        <x:v>46167</x:v>
      </x:c>
      <x:c r="G147" s="80" t="n">
        <x:v>9789.1</x:v>
      </x:c>
      <x:c r="H147" s="80" t="n">
        <x:v>1272.58</x:v>
      </x:c>
      <x:c r="I147" s="80" t="n">
        <x:f>G147+H147</x:f>
        <x:v>11061.68</x:v>
      </x:c>
      <x:c r="J147" s="56" t="str">
        <x:v>Paid</x:v>
      </x:c>
      <x:c r="K147" s="56" t="str">
        <x:v>Pending</x:v>
      </x:c>
      <x:c r="L147" s="56" t="str">
        <x:f>IF(COUNTIFS($B$2:$B$151,B147,$C$2:$C$151,C147,$I$2:$I$151,I147)&gt;1,"Duplicate Risk","OK")</x:f>
        <x:v>OK</x:v>
      </x:c>
      <x:c r="M147" s="56" t="str">
        <x:f>IF(D147="","Missing PO","Matched")</x:f>
        <x:v>Missing PO</x:v>
      </x:c>
      <x:c r="N147" s="56" t="str">
        <x:f>IF(ABS(H147-G147*0.13)&lt;=1,"OK","Review Tax")</x:f>
        <x:v>OK</x:v>
      </x:c>
      <x:c r="O147" s="122" t="n">
        <x:f>IF(J147="Paid",0,MAX(0,TODAY()-F147))</x:f>
        <x:v>0</x:v>
      </x:c>
      <x:c r="P147" s="56" t="str">
        <x:f>IF(OR(L147="Duplicate Risk",M147="Missing PO",N147="Review Tax",O147&gt;30,K147&lt;&gt;"Approved"),"High","Low")</x:f>
        <x:v>High</x:v>
      </x:c>
      <x:c r="Q147" s="57" t="str">
        <x:f>TEXTJOIN("; ",TRUE,IF(L147="Duplicate Risk","Duplicate risk",""),IF(M147="Missing PO","Missing PO",""),IF(N147="Review Tax","Tax variance",""),IF(O147&gt;0,"Overdue",""),IF(K147&lt;&gt;"Approved","Approval issue",""))</x:f>
        <x:v>Missing PO; Approval issue</x:v>
      </x:c>
    </x:row>
    <x:row r="148">
      <x:c r="A148" s="55" t="str">
        <x:v>AP-0147</x:v>
      </x:c>
      <x:c r="B148" s="56" t="str">
        <x:v>Vendor 15</x:v>
      </x:c>
      <x:c r="C148" s="56" t="str">
        <x:v>INV-44688</x:v>
      </x:c>
      <x:c r="D148" s="56" t="str"/>
      <x:c r="E148" s="76" t="n">
        <x:v>46188</x:v>
      </x:c>
      <x:c r="F148" s="76" t="n">
        <x:v>46233</x:v>
      </x:c>
      <x:c r="G148" s="80" t="n">
        <x:v>11501.55</x:v>
      </x:c>
      <x:c r="H148" s="80" t="n">
        <x:v>1495.2</x:v>
      </x:c>
      <x:c r="I148" s="80" t="n">
        <x:f>G148+H148</x:f>
        <x:v>12996.75</x:v>
      </x:c>
      <x:c r="J148" s="56" t="str">
        <x:v>Unpaid</x:v>
      </x:c>
      <x:c r="K148" s="56" t="str">
        <x:v>Pending</x:v>
      </x:c>
      <x:c r="L148" s="56" t="str">
        <x:f>IF(COUNTIFS($B$2:$B$151,B148,$C$2:$C$151,C148,$I$2:$I$151,I148)&gt;1,"Duplicate Risk","OK")</x:f>
        <x:v>OK</x:v>
      </x:c>
      <x:c r="M148" s="56" t="str">
        <x:f>IF(D148="","Missing PO","Matched")</x:f>
        <x:v>Missing PO</x:v>
      </x:c>
      <x:c r="N148" s="56" t="str">
        <x:f>IF(ABS(H148-G148*0.13)&lt;=1,"OK","Review Tax")</x:f>
        <x:v>OK</x:v>
      </x:c>
      <x:c r="O148" s="122" t="n">
        <x:f>IF(J148="Paid",0,MAX(0,TODAY()-F148))</x:f>
        <x:v>0</x:v>
      </x:c>
      <x:c r="P148" s="56" t="str">
        <x:f>IF(OR(L148="Duplicate Risk",M148="Missing PO",N148="Review Tax",O148&gt;30,K148&lt;&gt;"Approved"),"High","Low")</x:f>
        <x:v>High</x:v>
      </x:c>
      <x:c r="Q148" s="57" t="str">
        <x:f>TEXTJOIN("; ",TRUE,IF(L148="Duplicate Risk","Duplicate risk",""),IF(M148="Missing PO","Missing PO",""),IF(N148="Review Tax","Tax variance",""),IF(O148&gt;0,"Overdue",""),IF(K148&lt;&gt;"Approved","Approval issue",""))</x:f>
        <x:v>Missing PO; Approval issue</x:v>
      </x:c>
    </x:row>
    <x:row r="149">
      <x:c r="A149" s="55" t="str">
        <x:v>AP-0148</x:v>
      </x:c>
      <x:c r="B149" s="56" t="str">
        <x:v>Vendor 28</x:v>
      </x:c>
      <x:c r="C149" s="56" t="str">
        <x:v>INV-40301</x:v>
      </x:c>
      <x:c r="D149" s="56" t="str">
        <x:v>PO-1001</x:v>
      </x:c>
      <x:c r="E149" s="76" t="n">
        <x:v>46186</x:v>
      </x:c>
      <x:c r="F149" s="76" t="n">
        <x:v>46216</x:v>
      </x:c>
      <x:c r="G149" s="80" t="n">
        <x:v>11079.91</x:v>
      </x:c>
      <x:c r="H149" s="80" t="n">
        <x:v>1447.69</x:v>
      </x:c>
      <x:c r="I149" s="80" t="n">
        <x:f>G149+H149</x:f>
        <x:v>12527.6</x:v>
      </x:c>
      <x:c r="J149" s="56" t="str">
        <x:v>Unpaid</x:v>
      </x:c>
      <x:c r="K149" s="56" t="str">
        <x:v>Approved</x:v>
      </x:c>
      <x:c r="L149" s="56" t="str">
        <x:f>IF(COUNTIFS($B$2:$B$151,B149,$C$2:$C$151,C149,$I$2:$I$151,I149)&gt;1,"Duplicate Risk","OK")</x:f>
        <x:v>OK</x:v>
      </x:c>
      <x:c r="M149" s="56" t="str">
        <x:f>IF(D149="","Missing PO","Matched")</x:f>
        <x:v>Matched</x:v>
      </x:c>
      <x:c r="N149" s="56" t="str">
        <x:f>IF(ABS(H149-G149*0.13)&lt;=1,"OK","Review Tax")</x:f>
        <x:v>Review Tax</x:v>
      </x:c>
      <x:c r="O149" s="122" t="n">
        <x:f>IF(J149="Paid",0,MAX(0,TODAY()-F149))</x:f>
        <x:v>16</x:v>
      </x:c>
      <x:c r="P149" s="56" t="str">
        <x:f>IF(OR(L149="Duplicate Risk",M149="Missing PO",N149="Review Tax",O149&gt;30,K149&lt;&gt;"Approved"),"High","Low")</x:f>
        <x:v>High</x:v>
      </x:c>
      <x:c r="Q149" s="57" t="str">
        <x:f>TEXTJOIN("; ",TRUE,IF(L149="Duplicate Risk","Duplicate risk",""),IF(M149="Missing PO","Missing PO",""),IF(N149="Review Tax","Tax variance",""),IF(O149&gt;0,"Overdue",""),IF(K149&lt;&gt;"Approved","Approval issue",""))</x:f>
        <x:v>Tax variance; Overdue</x:v>
      </x:c>
    </x:row>
    <x:row r="150">
      <x:c r="A150" s="55" t="str">
        <x:v>AP-0149</x:v>
      </x:c>
      <x:c r="B150" s="56" t="str">
        <x:v>Vendor 16</x:v>
      </x:c>
      <x:c r="C150" s="56" t="str">
        <x:v>INV-47644</x:v>
      </x:c>
      <x:c r="D150" s="56" t="str">
        <x:v>PO-1001</x:v>
      </x:c>
      <x:c r="E150" s="76" t="n">
        <x:v>46175</x:v>
      </x:c>
      <x:c r="F150" s="76" t="n">
        <x:v>46205</x:v>
      </x:c>
      <x:c r="G150" s="80" t="n">
        <x:v>9279.4</x:v>
      </x:c>
      <x:c r="H150" s="80" t="n">
        <x:v>1206.32</x:v>
      </x:c>
      <x:c r="I150" s="80" t="n">
        <x:f>G150+H150</x:f>
        <x:v>10485.72</x:v>
      </x:c>
      <x:c r="J150" s="56" t="str">
        <x:v>Unpaid</x:v>
      </x:c>
      <x:c r="K150" s="56" t="str">
        <x:v>Approved</x:v>
      </x:c>
      <x:c r="L150" s="56" t="str">
        <x:f>IF(COUNTIFS($B$2:$B$151,B150,$C$2:$C$151,C150,$I$2:$I$151,I150)&gt;1,"Duplicate Risk","OK")</x:f>
        <x:v>OK</x:v>
      </x:c>
      <x:c r="M150" s="56" t="str">
        <x:f>IF(D150="","Missing PO","Matched")</x:f>
        <x:v>Matched</x:v>
      </x:c>
      <x:c r="N150" s="56" t="str">
        <x:f>IF(ABS(H150-G150*0.13)&lt;=1,"OK","Review Tax")</x:f>
        <x:v>OK</x:v>
      </x:c>
      <x:c r="O150" s="122" t="n">
        <x:f>IF(J150="Paid",0,MAX(0,TODAY()-F150))</x:f>
        <x:v>27</x:v>
      </x:c>
      <x:c r="P150" s="56" t="str">
        <x:f>IF(OR(L150="Duplicate Risk",M150="Missing PO",N150="Review Tax",O150&gt;30,K150&lt;&gt;"Approved"),"High","Low")</x:f>
        <x:v>Low</x:v>
      </x:c>
      <x:c r="Q150" s="57" t="str">
        <x:f>TEXTJOIN("; ",TRUE,IF(L150="Duplicate Risk","Duplicate risk",""),IF(M150="Missing PO","Missing PO",""),IF(N150="Review Tax","Tax variance",""),IF(O150&gt;0,"Overdue",""),IF(K150&lt;&gt;"Approved","Approval issue",""))</x:f>
        <x:v>Overdue</x:v>
      </x:c>
    </x:row>
    <x:row r="151">
      <x:c r="A151" s="58" t="str">
        <x:v>AP-0150</x:v>
      </x:c>
      <x:c r="B151" s="59" t="str">
        <x:v>Vendor 20</x:v>
      </x:c>
      <x:c r="C151" s="59" t="str">
        <x:v>INV-36310</x:v>
      </x:c>
      <x:c r="D151" s="59" t="str"/>
      <x:c r="E151" s="77" t="n">
        <x:v>46179</x:v>
      </x:c>
      <x:c r="F151" s="77" t="n">
        <x:v>46209</x:v>
      </x:c>
      <x:c r="G151" s="81" t="n">
        <x:v>6346.32</x:v>
      </x:c>
      <x:c r="H151" s="81" t="n">
        <x:v>821.48</x:v>
      </x:c>
      <x:c r="I151" s="81" t="n">
        <x:f>G151+H151</x:f>
        <x:v>7167.799999999999</x:v>
      </x:c>
      <x:c r="J151" s="59" t="str">
        <x:v>Paid</x:v>
      </x:c>
      <x:c r="K151" s="59" t="str">
        <x:v>Pending</x:v>
      </x:c>
      <x:c r="L151" s="59" t="str">
        <x:f>IF(COUNTIFS($B$2:$B$151,B151,$C$2:$C$151,C151,$I$2:$I$151,I151)&gt;1,"Duplicate Risk","OK")</x:f>
        <x:v>OK</x:v>
      </x:c>
      <x:c r="M151" s="59" t="str">
        <x:f>IF(D151="","Missing PO","Matched")</x:f>
        <x:v>Missing PO</x:v>
      </x:c>
      <x:c r="N151" s="59" t="str">
        <x:f>IF(ABS(H151-G151*0.13)&lt;=1,"OK","Review Tax")</x:f>
        <x:v>Review Tax</x:v>
      </x:c>
      <x:c r="O151" s="122" t="n">
        <x:f>IF(J151="Paid",0,MAX(0,TODAY()-F151))</x:f>
        <x:v>0</x:v>
      </x:c>
      <x:c r="P151" s="59" t="str">
        <x:f>IF(OR(L151="Duplicate Risk",M151="Missing PO",N151="Review Tax",O151&gt;30,K151&lt;&gt;"Approved"),"High","Low")</x:f>
        <x:v>High</x:v>
      </x:c>
      <x:c r="Q151" s="60" t="str">
        <x:f>TEXTJOIN("; ",TRUE,IF(L151="Duplicate Risk","Duplicate risk",""),IF(M151="Missing PO","Missing PO",""),IF(N151="Review Tax","Tax variance",""),IF(O151&gt;0,"Overdue",""),IF(K151&lt;&gt;"Approved","Approval issue",""))</x:f>
        <x:v>Missing PO; Tax variance; Approval issue</x:v>
      </x:c>
    </x:row>
  </x:sheetData>
  <x:conditionalFormatting sqref="P2:P151">
    <x:cfRule type="expression" dxfId="0" priority="1">
      <x:formula>P2="High"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5" hidden="0" customWidth="1"/>
  </x:cols>
  <x:sheetData>
    <x:row r="1" ht="30" customHeight="1">
      <x:c r="A1" s="88" t="str">
        <x:v>Invoice_ID</x:v>
      </x:c>
      <x:c r="B1" s="88" t="str">
        <x:v>Vendor</x:v>
      </x:c>
      <x:c r="C1" s="88" t="str">
        <x:v>Invoice_No</x:v>
      </x:c>
      <x:c r="D1" s="88" t="str">
        <x:v>PO_No</x:v>
      </x:c>
      <x:c r="E1" s="88" t="str">
        <x:v>Invoice_Date</x:v>
      </x:c>
      <x:c r="F1" s="88" t="str">
        <x:v>Due_Date</x:v>
      </x:c>
      <x:c r="G1" s="88" t="str">
        <x:v>Amount</x:v>
      </x:c>
      <x:c r="H1" s="88" t="str">
        <x:v>Tax</x:v>
      </x:c>
      <x:c r="I1" s="88" t="str">
        <x:v>Total</x:v>
      </x:c>
      <x:c r="J1" s="88" t="str">
        <x:v>Payment_Status</x:v>
      </x:c>
      <x:c r="K1" s="88" t="str">
        <x:v>Approval_Status</x:v>
      </x:c>
      <x:c r="L1" s="88" t="str">
        <x:v>Duplicate_Flag</x:v>
      </x:c>
      <x:c r="M1" s="88" t="str">
        <x:v>PO_Status</x:v>
      </x:c>
      <x:c r="N1" s="88" t="str">
        <x:v>Tax_Check</x:v>
      </x:c>
      <x:c r="O1" s="88" t="str">
        <x:v>Days_Overdue</x:v>
      </x:c>
      <x:c r="P1" s="88" t="str">
        <x:v>Risk_Level</x:v>
      </x:c>
      <x:c r="Q1" s="88" t="str">
        <x:v>Exception_Notes</x:v>
      </x:c>
    </x:row>
    <x:row r="2">
      <x:c r="A2" t="str">
        <x:f>IF(Data!$P2="High",IF(Data!A2="","",Data!A2),"")</x:f>
        <x:v>AP-0001</x:v>
      </x:c>
      <x:c r="B2" t="str">
        <x:f>IF(Data!$P2="High",IF(Data!B2="","",Data!B2),"")</x:f>
        <x:v>Vendor 15</x:v>
      </x:c>
      <x:c r="C2" t="str">
        <x:f>IF(Data!$P2="High",IF(Data!C2="","",Data!C2),"")</x:f>
        <x:v>INV-21101</x:v>
      </x:c>
      <x:c r="D2" t="str">
        <x:f>IF(Data!$P2="High",IF(Data!D2="","",Data!D2),"")</x:f>
      </x:c>
      <x:c r="E2" s="123" t="n">
        <x:f>IF(Data!$P2="High",IF(Data!E2="","",Data!E2),"")</x:f>
        <x:v>46186</x:v>
      </x:c>
      <x:c r="F2" s="123" t="n">
        <x:f>IF(Data!$P2="High",IF(Data!F2="","",Data!F2),"")</x:f>
        <x:v>46216</x:v>
      </x:c>
      <x:c r="G2" s="124" t="n">
        <x:f>IF(Data!$P2="High",IF(Data!G2="","",Data!G2),"")</x:f>
        <x:v>4371.77</x:v>
      </x:c>
      <x:c r="H2" s="124" t="n">
        <x:f>IF(Data!$P2="High",IF(Data!H2="","",Data!H2),"")</x:f>
        <x:v>573.21</x:v>
      </x:c>
      <x:c r="I2" s="124" t="n">
        <x:f>IF(Data!$P2="High",IF(Data!I2="","",Data!I2),"")</x:f>
        <x:v>4944.9800000000005</x:v>
      </x:c>
      <x:c r="J2" t="str">
        <x:f>IF(Data!$P2="High",IF(Data!J2="","",Data!J2),"")</x:f>
        <x:v>On Hold</x:v>
      </x:c>
      <x:c r="K2" t="str">
        <x:f>IF(Data!$P2="High",IF(Data!K2="","",Data!K2),"")</x:f>
        <x:v>Approved</x:v>
      </x:c>
      <x:c r="L2" t="str">
        <x:f>IF(Data!$P2="High",IF(Data!L2="","",Data!L2),"")</x:f>
        <x:v>OK</x:v>
      </x:c>
      <x:c r="M2" t="str">
        <x:f>IF(Data!$P2="High",IF(Data!M2="","",Data!M2),"")</x:f>
        <x:v>Missing PO</x:v>
      </x:c>
      <x:c r="N2" t="str">
        <x:f>IF(Data!$P2="High",IF(Data!N2="","",Data!N2),"")</x:f>
        <x:v>Review Tax</x:v>
      </x:c>
      <x:c r="O2" s="100" t="n">
        <x:f>IF(Data!$P2="High",Data!O2,"")</x:f>
        <x:v>16</x:v>
      </x:c>
      <x:c r="P2" t="str">
        <x:f>IF(Data!$P2="High",IF(Data!P2="","",Data!P2),"")</x:f>
        <x:v>High</x:v>
      </x:c>
      <x:c r="Q2" t="str">
        <x:f>IF(Data!$P2="High",IF(Data!Q2="","",Data!Q2),"")</x:f>
        <x:v>Missing PO; Tax variance; Overdue</x:v>
      </x:c>
    </x:row>
    <x:row r="3">
      <x:c r="A3" t="str">
        <x:f>IF(Data!$P3="High",IF(Data!A3="","",Data!A3),"")</x:f>
        <x:v>AP-0002</x:v>
      </x:c>
      <x:c r="B3" t="str">
        <x:f>IF(Data!$P3="High",IF(Data!B3="","",Data!B3),"")</x:f>
        <x:v>Vendor 1</x:v>
      </x:c>
      <x:c r="C3" t="str">
        <x:f>IF(Data!$P3="High",IF(Data!C3="","",Data!C3),"")</x:f>
        <x:v>INV-48833</x:v>
      </x:c>
      <x:c r="D3" t="str">
        <x:f>IF(Data!$P3="High",IF(Data!D3="","",Data!D3),"")</x:f>
        <x:v>PO-1045</x:v>
      </x:c>
      <x:c r="E3" s="123" t="n">
        <x:f>IF(Data!$P3="High",IF(Data!E3="","",Data!E3),"")</x:f>
        <x:v>46159</x:v>
      </x:c>
      <x:c r="F3" s="123" t="n">
        <x:f>IF(Data!$P3="High",IF(Data!F3="","",Data!F3),"")</x:f>
        <x:v>46189</x:v>
      </x:c>
      <x:c r="G3" s="124" t="n">
        <x:f>IF(Data!$P3="High",IF(Data!G3="","",Data!G3),"")</x:f>
        <x:v>2992.52</x:v>
      </x:c>
      <x:c r="H3" s="124" t="n">
        <x:f>IF(Data!$P3="High",IF(Data!H3="","",Data!H3),"")</x:f>
        <x:v>389.03</x:v>
      </x:c>
      <x:c r="I3" s="124" t="n">
        <x:f>IF(Data!$P3="High",IF(Data!I3="","",Data!I3),"")</x:f>
        <x:v>3381.55</x:v>
      </x:c>
      <x:c r="J3" t="str">
        <x:f>IF(Data!$P3="High",IF(Data!J3="","",Data!J3),"")</x:f>
        <x:v>Unpaid</x:v>
      </x:c>
      <x:c r="K3" t="str">
        <x:f>IF(Data!$P3="High",IF(Data!K3="","",Data!K3),"")</x:f>
        <x:v>Rejected</x:v>
      </x:c>
      <x:c r="L3" t="str">
        <x:f>IF(Data!$P3="High",IF(Data!L3="","",Data!L3),"")</x:f>
        <x:v>OK</x:v>
      </x:c>
      <x:c r="M3" t="str">
        <x:f>IF(Data!$P3="High",IF(Data!M3="","",Data!M3),"")</x:f>
        <x:v>Matched</x:v>
      </x:c>
      <x:c r="N3" t="str">
        <x:f>IF(Data!$P3="High",IF(Data!N3="","",Data!N3),"")</x:f>
        <x:v>OK</x:v>
      </x:c>
      <x:c r="O3" s="100" t="n">
        <x:f>IF(Data!$P3="High",Data!O3,"")</x:f>
        <x:v>43</x:v>
      </x:c>
      <x:c r="P3" t="str">
        <x:f>IF(Data!$P3="High",IF(Data!P3="","",Data!P3),"")</x:f>
        <x:v>High</x:v>
      </x:c>
      <x:c r="Q3" t="str">
        <x:f>IF(Data!$P3="High",IF(Data!Q3="","",Data!Q3),"")</x:f>
        <x:v>Overdue; Approval issue</x:v>
      </x:c>
    </x:row>
    <x:row r="4">
      <x:c r="A4" t="str">
        <x:f>IF(Data!$P4="High",IF(Data!A4="","",Data!A4),"")</x:f>
        <x:v>AP-0003</x:v>
      </x:c>
      <x:c r="B4" t="str">
        <x:f>IF(Data!$P4="High",IF(Data!B4="","",Data!B4),"")</x:f>
        <x:v>Vendor 3</x:v>
      </x:c>
      <x:c r="C4" t="str">
        <x:f>IF(Data!$P4="High",IF(Data!C4="","",Data!C4),"")</x:f>
        <x:v>INV-46012</x:v>
      </x:c>
      <x:c r="D4" t="str">
        <x:f>IF(Data!$P4="High",IF(Data!D4="","",Data!D4),"")</x:f>
        <x:v>PO-1053</x:v>
      </x:c>
      <x:c r="E4" s="123" t="n">
        <x:f>IF(Data!$P4="High",IF(Data!E4="","",Data!E4),"")</x:f>
        <x:v>46191</x:v>
      </x:c>
      <x:c r="F4" s="123" t="n">
        <x:f>IF(Data!$P4="High",IF(Data!F4="","",Data!F4),"")</x:f>
        <x:v>46221</x:v>
      </x:c>
      <x:c r="G4" s="124" t="n">
        <x:f>IF(Data!$P4="High",IF(Data!G4="","",Data!G4),"")</x:f>
        <x:v>11380.52</x:v>
      </x:c>
      <x:c r="H4" s="124" t="n">
        <x:f>IF(Data!$P4="High",IF(Data!H4="","",Data!H4),"")</x:f>
        <x:v>1479.47</x:v>
      </x:c>
      <x:c r="I4" s="124" t="n">
        <x:f>IF(Data!$P4="High",IF(Data!I4="","",Data!I4),"")</x:f>
        <x:v>12859.99</x:v>
      </x:c>
      <x:c r="J4" t="str">
        <x:f>IF(Data!$P4="High",IF(Data!J4="","",Data!J4),"")</x:f>
        <x:v>On Hold</x:v>
      </x:c>
      <x:c r="K4" t="str">
        <x:f>IF(Data!$P4="High",IF(Data!K4="","",Data!K4),"")</x:f>
        <x:v>Rejected</x:v>
      </x:c>
      <x:c r="L4" t="str">
        <x:f>IF(Data!$P4="High",IF(Data!L4="","",Data!L4),"")</x:f>
        <x:v>OK</x:v>
      </x:c>
      <x:c r="M4" t="str">
        <x:f>IF(Data!$P4="High",IF(Data!M4="","",Data!M4),"")</x:f>
        <x:v>Matched</x:v>
      </x:c>
      <x:c r="N4" t="str">
        <x:f>IF(Data!$P4="High",IF(Data!N4="","",Data!N4),"")</x:f>
        <x:v>OK</x:v>
      </x:c>
      <x:c r="O4" s="100" t="n">
        <x:f>IF(Data!$P4="High",Data!O4,"")</x:f>
        <x:v>11</x:v>
      </x:c>
      <x:c r="P4" t="str">
        <x:f>IF(Data!$P4="High",IF(Data!P4="","",Data!P4),"")</x:f>
        <x:v>High</x:v>
      </x:c>
      <x:c r="Q4" t="str">
        <x:f>IF(Data!$P4="High",IF(Data!Q4="","",Data!Q4),"")</x:f>
        <x:v>Overdue; Approval issue</x:v>
      </x:c>
    </x:row>
    <x:row r="5">
      <x:c r="A5" t="str">
        <x:f>IF(Data!$P5="High",IF(Data!A5="","",Data!A5),"")</x:f>
        <x:v>AP-0004</x:v>
      </x:c>
      <x:c r="B5" t="str">
        <x:f>IF(Data!$P5="High",IF(Data!B5="","",Data!B5),"")</x:f>
        <x:v>Vendor 8</x:v>
      </x:c>
      <x:c r="C5" t="str">
        <x:f>IF(Data!$P5="High",IF(Data!C5="","",Data!C5),"")</x:f>
        <x:v>INV-25269</x:v>
      </x:c>
      <x:c r="D5" t="str">
        <x:f>IF(Data!$P5="High",IF(Data!D5="","",Data!D5),"")</x:f>
        <x:v>PO-1035</x:v>
      </x:c>
      <x:c r="E5" s="123" t="n">
        <x:f>IF(Data!$P5="High",IF(Data!E5="","",Data!E5),"")</x:f>
        <x:v>46144</x:v>
      </x:c>
      <x:c r="F5" s="123" t="n">
        <x:f>IF(Data!$P5="High",IF(Data!F5="","",Data!F5),"")</x:f>
        <x:v>46189</x:v>
      </x:c>
      <x:c r="G5" s="124" t="n">
        <x:f>IF(Data!$P5="High",IF(Data!G5="","",Data!G5),"")</x:f>
        <x:v>958.11</x:v>
      </x:c>
      <x:c r="H5" s="124" t="n">
        <x:f>IF(Data!$P5="High",IF(Data!H5="","",Data!H5),"")</x:f>
        <x:v>124.55</x:v>
      </x:c>
      <x:c r="I5" s="124" t="n">
        <x:f>IF(Data!$P5="High",IF(Data!I5="","",Data!I5),"")</x:f>
        <x:v>1082.66</x:v>
      </x:c>
      <x:c r="J5" t="str">
        <x:f>IF(Data!$P5="High",IF(Data!J5="","",Data!J5),"")</x:f>
        <x:v>Unpaid</x:v>
      </x:c>
      <x:c r="K5" t="str">
        <x:f>IF(Data!$P5="High",IF(Data!K5="","",Data!K5),"")</x:f>
        <x:v>Pending</x:v>
      </x:c>
      <x:c r="L5" t="str">
        <x:f>IF(Data!$P5="High",IF(Data!L5="","",Data!L5),"")</x:f>
        <x:v>OK</x:v>
      </x:c>
      <x:c r="M5" t="str">
        <x:f>IF(Data!$P5="High",IF(Data!M5="","",Data!M5),"")</x:f>
        <x:v>Matched</x:v>
      </x:c>
      <x:c r="N5" t="str">
        <x:f>IF(Data!$P5="High",IF(Data!N5="","",Data!N5),"")</x:f>
        <x:v>OK</x:v>
      </x:c>
      <x:c r="O5" s="100" t="n">
        <x:f>IF(Data!$P5="High",Data!O5,"")</x:f>
        <x:v>43</x:v>
      </x:c>
      <x:c r="P5" t="str">
        <x:f>IF(Data!$P5="High",IF(Data!P5="","",Data!P5),"")</x:f>
        <x:v>High</x:v>
      </x:c>
      <x:c r="Q5" t="str">
        <x:f>IF(Data!$P5="High",IF(Data!Q5="","",Data!Q5),"")</x:f>
        <x:v>Overdue; Approval issue</x:v>
      </x:c>
    </x:row>
    <x:row r="6">
      <x:c r="A6" t="str">
        <x:f>IF(Data!$P6="High",IF(Data!A6="","",Data!A6),"")</x:f>
        <x:v>AP-0005</x:v>
      </x:c>
      <x:c r="B6" t="str">
        <x:f>IF(Data!$P6="High",IF(Data!B6="","",Data!B6),"")</x:f>
        <x:v>Vendor 6</x:v>
      </x:c>
      <x:c r="C6" t="str">
        <x:f>IF(Data!$P6="High",IF(Data!C6="","",Data!C6),"")</x:f>
        <x:v>INV-38175</x:v>
      </x:c>
      <x:c r="D6" t="str">
        <x:f>IF(Data!$P6="High",IF(Data!D6="","",Data!D6),"")</x:f>
      </x:c>
      <x:c r="E6" s="123" t="n">
        <x:f>IF(Data!$P6="High",IF(Data!E6="","",Data!E6),"")</x:f>
        <x:v>46193</x:v>
      </x:c>
      <x:c r="F6" s="123" t="n">
        <x:f>IF(Data!$P6="High",IF(Data!F6="","",Data!F6),"")</x:f>
        <x:v>46238</x:v>
      </x:c>
      <x:c r="G6" s="124" t="n">
        <x:f>IF(Data!$P6="High",IF(Data!G6="","",Data!G6),"")</x:f>
        <x:v>1225.29</x:v>
      </x:c>
      <x:c r="H6" s="124" t="n">
        <x:f>IF(Data!$P6="High",IF(Data!H6="","",Data!H6),"")</x:f>
        <x:v>163.97</x:v>
      </x:c>
      <x:c r="I6" s="124" t="n">
        <x:f>IF(Data!$P6="High",IF(Data!I6="","",Data!I6),"")</x:f>
        <x:v>1389.26</x:v>
      </x:c>
      <x:c r="J6" t="str">
        <x:f>IF(Data!$P6="High",IF(Data!J6="","",Data!J6),"")</x:f>
        <x:v>Paid</x:v>
      </x:c>
      <x:c r="K6" t="str">
        <x:f>IF(Data!$P6="High",IF(Data!K6="","",Data!K6),"")</x:f>
        <x:v>Rejected</x:v>
      </x:c>
      <x:c r="L6" t="str">
        <x:f>IF(Data!$P6="High",IF(Data!L6="","",Data!L6),"")</x:f>
        <x:v>OK</x:v>
      </x:c>
      <x:c r="M6" t="str">
        <x:f>IF(Data!$P6="High",IF(Data!M6="","",Data!M6),"")</x:f>
        <x:v>Missing PO</x:v>
      </x:c>
      <x:c r="N6" t="str">
        <x:f>IF(Data!$P6="High",IF(Data!N6="","",Data!N6),"")</x:f>
        <x:v>Review Tax</x:v>
      </x:c>
      <x:c r="O6" s="100" t="n">
        <x:f>IF(Data!$P6="High",Data!O6,"")</x:f>
        <x:v>0</x:v>
      </x:c>
      <x:c r="P6" t="str">
        <x:f>IF(Data!$P6="High",IF(Data!P6="","",Data!P6),"")</x:f>
        <x:v>High</x:v>
      </x:c>
      <x:c r="Q6" t="str">
        <x:f>IF(Data!$P6="High",IF(Data!Q6="","",Data!Q6),"")</x:f>
        <x:v>Missing PO; Tax variance; Approval issue</x:v>
      </x:c>
    </x:row>
    <x:row r="7">
      <x:c r="A7" t="str">
        <x:f>IF(Data!$P7="High",IF(Data!A7="","",Data!A7),"")</x:f>
        <x:v>AP-0006</x:v>
      </x:c>
      <x:c r="B7" t="str">
        <x:f>IF(Data!$P7="High",IF(Data!B7="","",Data!B7),"")</x:f>
        <x:v>Vendor 9</x:v>
      </x:c>
      <x:c r="C7" t="str">
        <x:f>IF(Data!$P7="High",IF(Data!C7="","",Data!C7),"")</x:f>
        <x:v>INV-30016</x:v>
      </x:c>
      <x:c r="D7" t="str">
        <x:f>IF(Data!$P7="High",IF(Data!D7="","",Data!D7),"")</x:f>
        <x:v>PO-1096</x:v>
      </x:c>
      <x:c r="E7" s="123" t="n">
        <x:f>IF(Data!$P7="High",IF(Data!E7="","",Data!E7),"")</x:f>
        <x:v>46164</x:v>
      </x:c>
      <x:c r="F7" s="123" t="n">
        <x:f>IF(Data!$P7="High",IF(Data!F7="","",Data!F7),"")</x:f>
        <x:v>46179</x:v>
      </x:c>
      <x:c r="G7" s="124" t="n">
        <x:f>IF(Data!$P7="High",IF(Data!G7="","",Data!G7),"")</x:f>
        <x:v>3489.34</x:v>
      </x:c>
      <x:c r="H7" s="124" t="n">
        <x:f>IF(Data!$P7="High",IF(Data!H7="","",Data!H7),"")</x:f>
        <x:v>453.61</x:v>
      </x:c>
      <x:c r="I7" s="124" t="n">
        <x:f>IF(Data!$P7="High",IF(Data!I7="","",Data!I7),"")</x:f>
        <x:v>3942.9500000000003</x:v>
      </x:c>
      <x:c r="J7" t="str">
        <x:f>IF(Data!$P7="High",IF(Data!J7="","",Data!J7),"")</x:f>
        <x:v>Paid</x:v>
      </x:c>
      <x:c r="K7" t="str">
        <x:f>IF(Data!$P7="High",IF(Data!K7="","",Data!K7),"")</x:f>
        <x:v>Pending</x:v>
      </x:c>
      <x:c r="L7" t="str">
        <x:f>IF(Data!$P7="High",IF(Data!L7="","",Data!L7),"")</x:f>
        <x:v>OK</x:v>
      </x:c>
      <x:c r="M7" t="str">
        <x:f>IF(Data!$P7="High",IF(Data!M7="","",Data!M7),"")</x:f>
        <x:v>Matched</x:v>
      </x:c>
      <x:c r="N7" t="str">
        <x:f>IF(Data!$P7="High",IF(Data!N7="","",Data!N7),"")</x:f>
        <x:v>OK</x:v>
      </x:c>
      <x:c r="O7" s="100" t="n">
        <x:f>IF(Data!$P7="High",Data!O7,"")</x:f>
        <x:v>0</x:v>
      </x:c>
      <x:c r="P7" t="str">
        <x:f>IF(Data!$P7="High",IF(Data!P7="","",Data!P7),"")</x:f>
        <x:v>High</x:v>
      </x:c>
      <x:c r="Q7" t="str">
        <x:f>IF(Data!$P7="High",IF(Data!Q7="","",Data!Q7),"")</x:f>
        <x:v>Approval issue</x:v>
      </x:c>
    </x:row>
    <x:row r="8">
      <x:c r="A8" t="str">
        <x:f>IF(Data!$P8="High",IF(Data!A8="","",Data!A8),"")</x:f>
        <x:v>AP-0007</x:v>
      </x:c>
      <x:c r="B8" t="str">
        <x:f>IF(Data!$P8="High",IF(Data!B8="","",Data!B8),"")</x:f>
        <x:v>Vendor 7</x:v>
      </x:c>
      <x:c r="C8" t="str">
        <x:f>IF(Data!$P8="High",IF(Data!C8="","",Data!C8),"")</x:f>
        <x:v>INV-32892</x:v>
      </x:c>
      <x:c r="D8" t="str">
        <x:f>IF(Data!$P8="High",IF(Data!D8="","",Data!D8),"")</x:f>
      </x:c>
      <x:c r="E8" s="123" t="n">
        <x:f>IF(Data!$P8="High",IF(Data!E8="","",Data!E8),"")</x:f>
        <x:v>46197</x:v>
      </x:c>
      <x:c r="F8" s="123" t="n">
        <x:f>IF(Data!$P8="High",IF(Data!F8="","",Data!F8),"")</x:f>
        <x:v>46242</x:v>
      </x:c>
      <x:c r="G8" s="124" t="n">
        <x:f>IF(Data!$P8="High",IF(Data!G8="","",Data!G8),"")</x:f>
        <x:v>4003.66</x:v>
      </x:c>
      <x:c r="H8" s="124" t="n">
        <x:f>IF(Data!$P8="High",IF(Data!H8="","",Data!H8),"")</x:f>
        <x:v>520.74</x:v>
      </x:c>
      <x:c r="I8" s="124" t="n">
        <x:f>IF(Data!$P8="High",IF(Data!I8="","",Data!I8),"")</x:f>
        <x:v>4524.4</x:v>
      </x:c>
      <x:c r="J8" t="str">
        <x:f>IF(Data!$P8="High",IF(Data!J8="","",Data!J8),"")</x:f>
        <x:v>Paid</x:v>
      </x:c>
      <x:c r="K8" t="str">
        <x:f>IF(Data!$P8="High",IF(Data!K8="","",Data!K8),"")</x:f>
        <x:v>Rejected</x:v>
      </x:c>
      <x:c r="L8" t="str">
        <x:f>IF(Data!$P8="High",IF(Data!L8="","",Data!L8),"")</x:f>
        <x:v>OK</x:v>
      </x:c>
      <x:c r="M8" t="str">
        <x:f>IF(Data!$P8="High",IF(Data!M8="","",Data!M8),"")</x:f>
        <x:v>Missing PO</x:v>
      </x:c>
      <x:c r="N8" t="str">
        <x:f>IF(Data!$P8="High",IF(Data!N8="","",Data!N8),"")</x:f>
        <x:v>OK</x:v>
      </x:c>
      <x:c r="O8" s="100" t="n">
        <x:f>IF(Data!$P8="High",Data!O8,"")</x:f>
        <x:v>0</x:v>
      </x:c>
      <x:c r="P8" t="str">
        <x:f>IF(Data!$P8="High",IF(Data!P8="","",Data!P8),"")</x:f>
        <x:v>High</x:v>
      </x:c>
      <x:c r="Q8" t="str">
        <x:f>IF(Data!$P8="High",IF(Data!Q8="","",Data!Q8),"")</x:f>
        <x:v>Missing PO; Approval issue</x:v>
      </x:c>
    </x:row>
    <x:row r="9">
      <x:c r="A9" t="str">
        <x:f>IF(Data!$P9="High",IF(Data!A9="","",Data!A9),"")</x:f>
        <x:v>AP-0008</x:v>
      </x:c>
      <x:c r="B9" t="str">
        <x:f>IF(Data!$P9="High",IF(Data!B9="","",Data!B9),"")</x:f>
        <x:v>Vendor 12</x:v>
      </x:c>
      <x:c r="C9" t="str">
        <x:f>IF(Data!$P9="High",IF(Data!C9="","",Data!C9),"")</x:f>
        <x:v>INV-35444</x:v>
      </x:c>
      <x:c r="D9" t="str">
        <x:f>IF(Data!$P9="High",IF(Data!D9="","",Data!D9),"")</x:f>
      </x:c>
      <x:c r="E9" s="123" t="n">
        <x:f>IF(Data!$P9="High",IF(Data!E9="","",Data!E9),"")</x:f>
        <x:v>46152</x:v>
      </x:c>
      <x:c r="F9" s="123" t="n">
        <x:f>IF(Data!$P9="High",IF(Data!F9="","",Data!F9),"")</x:f>
        <x:v>46182</x:v>
      </x:c>
      <x:c r="G9" s="124" t="n">
        <x:f>IF(Data!$P9="High",IF(Data!G9="","",Data!G9),"")</x:f>
        <x:v>5272.83</x:v>
      </x:c>
      <x:c r="H9" s="124" t="n">
        <x:f>IF(Data!$P9="High",IF(Data!H9="","",Data!H9),"")</x:f>
        <x:v>685.47</x:v>
      </x:c>
      <x:c r="I9" s="124" t="n">
        <x:f>IF(Data!$P9="High",IF(Data!I9="","",Data!I9),"")</x:f>
        <x:v>5958.3</x:v>
      </x:c>
      <x:c r="J9" t="str">
        <x:f>IF(Data!$P9="High",IF(Data!J9="","",Data!J9),"")</x:f>
        <x:v>On Hold</x:v>
      </x:c>
      <x:c r="K9" t="str">
        <x:f>IF(Data!$P9="High",IF(Data!K9="","",Data!K9),"")</x:f>
        <x:v>Rejected</x:v>
      </x:c>
      <x:c r="L9" t="str">
        <x:f>IF(Data!$P9="High",IF(Data!L9="","",Data!L9),"")</x:f>
        <x:v>OK</x:v>
      </x:c>
      <x:c r="M9" t="str">
        <x:f>IF(Data!$P9="High",IF(Data!M9="","",Data!M9),"")</x:f>
        <x:v>Missing PO</x:v>
      </x:c>
      <x:c r="N9" t="str">
        <x:f>IF(Data!$P9="High",IF(Data!N9="","",Data!N9),"")</x:f>
        <x:v>OK</x:v>
      </x:c>
      <x:c r="O9" s="100" t="n">
        <x:f>IF(Data!$P9="High",Data!O9,"")</x:f>
        <x:v>50</x:v>
      </x:c>
      <x:c r="P9" t="str">
        <x:f>IF(Data!$P9="High",IF(Data!P9="","",Data!P9),"")</x:f>
        <x:v>High</x:v>
      </x:c>
      <x:c r="Q9" t="str">
        <x:f>IF(Data!$P9="High",IF(Data!Q9="","",Data!Q9),"")</x:f>
        <x:v>Missing PO; Overdue; Approval issue</x:v>
      </x:c>
    </x:row>
    <x:row r="10">
      <x:c r="A10" t="str">
        <x:f>IF(Data!$P10="High",IF(Data!A10="","",Data!A10),"")</x:f>
        <x:v>AP-0009</x:v>
      </x:c>
      <x:c r="B10" t="str">
        <x:f>IF(Data!$P10="High",IF(Data!B10="","",Data!B10),"")</x:f>
        <x:v>Vendor 4</x:v>
      </x:c>
      <x:c r="C10" t="str">
        <x:f>IF(Data!$P10="High",IF(Data!C10="","",Data!C10),"")</x:f>
        <x:v>INV-25723</x:v>
      </x:c>
      <x:c r="D10" t="str">
        <x:f>IF(Data!$P10="High",IF(Data!D10="","",Data!D10),"")</x:f>
        <x:v>PO-1012</x:v>
      </x:c>
      <x:c r="E10" s="123" t="n">
        <x:f>IF(Data!$P10="High",IF(Data!E10="","",Data!E10),"")</x:f>
        <x:v>46183</x:v>
      </x:c>
      <x:c r="F10" s="123" t="n">
        <x:f>IF(Data!$P10="High",IF(Data!F10="","",Data!F10),"")</x:f>
        <x:v>46213</x:v>
      </x:c>
      <x:c r="G10" s="124" t="n">
        <x:f>IF(Data!$P10="High",IF(Data!G10="","",Data!G10),"")</x:f>
        <x:v>3374.58</x:v>
      </x:c>
      <x:c r="H10" s="124" t="n">
        <x:f>IF(Data!$P10="High",IF(Data!H10="","",Data!H10),"")</x:f>
        <x:v>438.7</x:v>
      </x:c>
      <x:c r="I10" s="124" t="n">
        <x:f>IF(Data!$P10="High",IF(Data!I10="","",Data!I10),"")</x:f>
        <x:v>3813.2799999999997</x:v>
      </x:c>
      <x:c r="J10" t="str">
        <x:f>IF(Data!$P10="High",IF(Data!J10="","",Data!J10),"")</x:f>
        <x:v>Paid</x:v>
      </x:c>
      <x:c r="K10" t="str">
        <x:f>IF(Data!$P10="High",IF(Data!K10="","",Data!K10),"")</x:f>
        <x:v>Pending</x:v>
      </x:c>
      <x:c r="L10" t="str">
        <x:f>IF(Data!$P10="High",IF(Data!L10="","",Data!L10),"")</x:f>
        <x:v>OK</x:v>
      </x:c>
      <x:c r="M10" t="str">
        <x:f>IF(Data!$P10="High",IF(Data!M10="","",Data!M10),"")</x:f>
        <x:v>Matched</x:v>
      </x:c>
      <x:c r="N10" t="str">
        <x:f>IF(Data!$P10="High",IF(Data!N10="","",Data!N10),"")</x:f>
        <x:v>OK</x:v>
      </x:c>
      <x:c r="O10" s="100" t="n">
        <x:f>IF(Data!$P10="High",Data!O10,"")</x:f>
        <x:v>0</x:v>
      </x:c>
      <x:c r="P10" t="str">
        <x:f>IF(Data!$P10="High",IF(Data!P10="","",Data!P10),"")</x:f>
        <x:v>High</x:v>
      </x:c>
      <x:c r="Q10" t="str">
        <x:f>IF(Data!$P10="High",IF(Data!Q10="","",Data!Q10),"")</x:f>
        <x:v>Approval issue</x:v>
      </x:c>
    </x:row>
    <x:row r="11">
      <x:c r="A11" t="str">
        <x:f>IF(Data!$P11="High",IF(Data!A11="","",Data!A11),"")</x:f>
        <x:v>AP-0010</x:v>
      </x:c>
      <x:c r="B11" t="str">
        <x:f>IF(Data!$P11="High",IF(Data!B11="","",Data!B11),"")</x:f>
        <x:v>Vendor 19</x:v>
      </x:c>
      <x:c r="C11" t="str">
        <x:f>IF(Data!$P11="High",IF(Data!C11="","",Data!C11),"")</x:f>
        <x:v>INV-42575</x:v>
      </x:c>
      <x:c r="D11" t="str">
        <x:f>IF(Data!$P11="High",IF(Data!D11="","",Data!D11),"")</x:f>
      </x:c>
      <x:c r="E11" s="123" t="n">
        <x:f>IF(Data!$P11="High",IF(Data!E11="","",Data!E11),"")</x:f>
        <x:v>46165</x:v>
      </x:c>
      <x:c r="F11" s="123" t="n">
        <x:f>IF(Data!$P11="High",IF(Data!F11="","",Data!F11),"")</x:f>
        <x:v>46195</x:v>
      </x:c>
      <x:c r="G11" s="124" t="n">
        <x:f>IF(Data!$P11="High",IF(Data!G11="","",Data!G11),"")</x:f>
        <x:v>174.91</x:v>
      </x:c>
      <x:c r="H11" s="124" t="n">
        <x:f>IF(Data!$P11="High",IF(Data!H11="","",Data!H11),"")</x:f>
        <x:v>22.74</x:v>
      </x:c>
      <x:c r="I11" s="124" t="n">
        <x:f>IF(Data!$P11="High",IF(Data!I11="","",Data!I11),"")</x:f>
        <x:v>197.65</x:v>
      </x:c>
      <x:c r="J11" t="str">
        <x:f>IF(Data!$P11="High",IF(Data!J11="","",Data!J11),"")</x:f>
        <x:v>Paid</x:v>
      </x:c>
      <x:c r="K11" t="str">
        <x:f>IF(Data!$P11="High",IF(Data!K11="","",Data!K11),"")</x:f>
        <x:v>Pending</x:v>
      </x:c>
      <x:c r="L11" t="str">
        <x:f>IF(Data!$P11="High",IF(Data!L11="","",Data!L11),"")</x:f>
        <x:v>OK</x:v>
      </x:c>
      <x:c r="M11" t="str">
        <x:f>IF(Data!$P11="High",IF(Data!M11="","",Data!M11),"")</x:f>
        <x:v>Missing PO</x:v>
      </x:c>
      <x:c r="N11" t="str">
        <x:f>IF(Data!$P11="High",IF(Data!N11="","",Data!N11),"")</x:f>
        <x:v>OK</x:v>
      </x:c>
      <x:c r="O11" s="100" t="n">
        <x:f>IF(Data!$P11="High",Data!O11,"")</x:f>
        <x:v>0</x:v>
      </x:c>
      <x:c r="P11" t="str">
        <x:f>IF(Data!$P11="High",IF(Data!P11="","",Data!P11),"")</x:f>
        <x:v>High</x:v>
      </x:c>
      <x:c r="Q11" t="str">
        <x:f>IF(Data!$P11="High",IF(Data!Q11="","",Data!Q11),"")</x:f>
        <x:v>Missing PO; Approval issue</x:v>
      </x:c>
    </x:row>
    <x:row r="12">
      <x:c r="A12" t="str">
        <x:f>IF(Data!$P12="High",IF(Data!A12="","",Data!A12),"")</x:f>
        <x:v>AP-0011</x:v>
      </x:c>
      <x:c r="B12" t="str">
        <x:f>IF(Data!$P12="High",IF(Data!B12="","",Data!B12),"")</x:f>
        <x:v>Vendor 1</x:v>
      </x:c>
      <x:c r="C12" t="str">
        <x:f>IF(Data!$P12="High",IF(Data!C12="","",Data!C12),"")</x:f>
        <x:v>INV-28447</x:v>
      </x:c>
      <x:c r="D12" t="str">
        <x:f>IF(Data!$P12="High",IF(Data!D12="","",Data!D12),"")</x:f>
      </x:c>
      <x:c r="E12" s="123" t="n">
        <x:f>IF(Data!$P12="High",IF(Data!E12="","",Data!E12),"")</x:f>
        <x:v>46195</x:v>
      </x:c>
      <x:c r="F12" s="123" t="n">
        <x:f>IF(Data!$P12="High",IF(Data!F12="","",Data!F12),"")</x:f>
        <x:v>46240</x:v>
      </x:c>
      <x:c r="G12" s="124" t="n">
        <x:f>IF(Data!$P12="High",IF(Data!G12="","",Data!G12),"")</x:f>
        <x:v>7935.5</x:v>
      </x:c>
      <x:c r="H12" s="124" t="n">
        <x:f>IF(Data!$P12="High",IF(Data!H12="","",Data!H12),"")</x:f>
        <x:v>1031.62</x:v>
      </x:c>
      <x:c r="I12" s="124" t="n">
        <x:f>IF(Data!$P12="High",IF(Data!I12="","",Data!I12),"")</x:f>
        <x:v>8967.119999999999</x:v>
      </x:c>
      <x:c r="J12" t="str">
        <x:f>IF(Data!$P12="High",IF(Data!J12="","",Data!J12),"")</x:f>
        <x:v>Unpaid</x:v>
      </x:c>
      <x:c r="K12" t="str">
        <x:f>IF(Data!$P12="High",IF(Data!K12="","",Data!K12),"")</x:f>
        <x:v>Rejected</x:v>
      </x:c>
      <x:c r="L12" t="str">
        <x:f>IF(Data!$P12="High",IF(Data!L12="","",Data!L12),"")</x:f>
        <x:v>OK</x:v>
      </x:c>
      <x:c r="M12" t="str">
        <x:f>IF(Data!$P12="High",IF(Data!M12="","",Data!M12),"")</x:f>
        <x:v>Missing PO</x:v>
      </x:c>
      <x:c r="N12" t="str">
        <x:f>IF(Data!$P12="High",IF(Data!N12="","",Data!N12),"")</x:f>
        <x:v>OK</x:v>
      </x:c>
      <x:c r="O12" s="100" t="n">
        <x:f>IF(Data!$P12="High",Data!O12,"")</x:f>
        <x:v>0</x:v>
      </x:c>
      <x:c r="P12" t="str">
        <x:f>IF(Data!$P12="High",IF(Data!P12="","",Data!P12),"")</x:f>
        <x:v>High</x:v>
      </x:c>
      <x:c r="Q12" t="str">
        <x:f>IF(Data!$P12="High",IF(Data!Q12="","",Data!Q12),"")</x:f>
        <x:v>Missing PO; Approval issue</x:v>
      </x:c>
    </x:row>
    <x:row r="13">
      <x:c r="A13" t="str">
        <x:f>IF(Data!$P13="High",IF(Data!A13="","",Data!A13),"")</x:f>
        <x:v>AP-0012</x:v>
      </x:c>
      <x:c r="B13" t="str">
        <x:f>IF(Data!$P13="High",IF(Data!B13="","",Data!B13),"")</x:f>
        <x:v>Vendor 20</x:v>
      </x:c>
      <x:c r="C13" t="str">
        <x:f>IF(Data!$P13="High",IF(Data!C13="","",Data!C13),"")</x:f>
        <x:v>INV-20174</x:v>
      </x:c>
      <x:c r="D13" t="str">
        <x:f>IF(Data!$P13="High",IF(Data!D13="","",Data!D13),"")</x:f>
      </x:c>
      <x:c r="E13" s="123" t="n">
        <x:f>IF(Data!$P13="High",IF(Data!E13="","",Data!E13),"")</x:f>
        <x:v>46191</x:v>
      </x:c>
      <x:c r="F13" s="123" t="n">
        <x:f>IF(Data!$P13="High",IF(Data!F13="","",Data!F13),"")</x:f>
        <x:v>46206</x:v>
      </x:c>
      <x:c r="G13" s="124" t="n">
        <x:f>IF(Data!$P13="High",IF(Data!G13="","",Data!G13),"")</x:f>
        <x:v>792.72</x:v>
      </x:c>
      <x:c r="H13" s="124" t="n">
        <x:f>IF(Data!$P13="High",IF(Data!H13="","",Data!H13),"")</x:f>
        <x:v>103.05</x:v>
      </x:c>
      <x:c r="I13" s="124" t="n">
        <x:f>IF(Data!$P13="High",IF(Data!I13="","",Data!I13),"")</x:f>
        <x:v>895.77</x:v>
      </x:c>
      <x:c r="J13" t="str">
        <x:f>IF(Data!$P13="High",IF(Data!J13="","",Data!J13),"")</x:f>
        <x:v>Unpaid</x:v>
      </x:c>
      <x:c r="K13" t="str">
        <x:f>IF(Data!$P13="High",IF(Data!K13="","",Data!K13),"")</x:f>
        <x:v>Pending</x:v>
      </x:c>
      <x:c r="L13" t="str">
        <x:f>IF(Data!$P13="High",IF(Data!L13="","",Data!L13),"")</x:f>
        <x:v>OK</x:v>
      </x:c>
      <x:c r="M13" t="str">
        <x:f>IF(Data!$P13="High",IF(Data!M13="","",Data!M13),"")</x:f>
        <x:v>Missing PO</x:v>
      </x:c>
      <x:c r="N13" t="str">
        <x:f>IF(Data!$P13="High",IF(Data!N13="","",Data!N13),"")</x:f>
        <x:v>OK</x:v>
      </x:c>
      <x:c r="O13" s="100" t="n">
        <x:f>IF(Data!$P13="High",Data!O13,"")</x:f>
        <x:v>26</x:v>
      </x:c>
      <x:c r="P13" t="str">
        <x:f>IF(Data!$P13="High",IF(Data!P13="","",Data!P13),"")</x:f>
        <x:v>High</x:v>
      </x:c>
      <x:c r="Q13" t="str">
        <x:f>IF(Data!$P13="High",IF(Data!Q13="","",Data!Q13),"")</x:f>
        <x:v>Missing PO; Overdue; Approval issue</x:v>
      </x:c>
    </x:row>
    <x:row r="14">
      <x:c r="A14" t="str">
        <x:f>IF(Data!$P14="High",IF(Data!A14="","",Data!A14),"")</x:f>
        <x:v>AP-0013</x:v>
      </x:c>
      <x:c r="B14" t="str">
        <x:f>IF(Data!$P14="High",IF(Data!B14="","",Data!B14),"")</x:f>
        <x:v>Vendor 29</x:v>
      </x:c>
      <x:c r="C14" t="str">
        <x:f>IF(Data!$P14="High",IF(Data!C14="","",Data!C14),"")</x:f>
        <x:v>INV-25667</x:v>
      </x:c>
      <x:c r="D14" t="str">
        <x:f>IF(Data!$P14="High",IF(Data!D14="","",Data!D14),"")</x:f>
        <x:v>PO-1010</x:v>
      </x:c>
      <x:c r="E14" s="123" t="n">
        <x:f>IF(Data!$P14="High",IF(Data!E14="","",Data!E14),"")</x:f>
        <x:v>46165</x:v>
      </x:c>
      <x:c r="F14" s="123" t="n">
        <x:f>IF(Data!$P14="High",IF(Data!F14="","",Data!F14),"")</x:f>
        <x:v>46195</x:v>
      </x:c>
      <x:c r="G14" s="124" t="n">
        <x:f>IF(Data!$P14="High",IF(Data!G14="","",Data!G14),"")</x:f>
        <x:v>7065.18</x:v>
      </x:c>
      <x:c r="H14" s="124" t="n">
        <x:f>IF(Data!$P14="High",IF(Data!H14="","",Data!H14),"")</x:f>
        <x:v>912.25</x:v>
      </x:c>
      <x:c r="I14" s="124" t="n">
        <x:f>IF(Data!$P14="High",IF(Data!I14="","",Data!I14),"")</x:f>
        <x:v>7977.43</x:v>
      </x:c>
      <x:c r="J14" t="str">
        <x:f>IF(Data!$P14="High",IF(Data!J14="","",Data!J14),"")</x:f>
        <x:v>Unpaid</x:v>
      </x:c>
      <x:c r="K14" t="str">
        <x:f>IF(Data!$P14="High",IF(Data!K14="","",Data!K14),"")</x:f>
        <x:v>Approved</x:v>
      </x:c>
      <x:c r="L14" t="str">
        <x:f>IF(Data!$P14="High",IF(Data!L14="","",Data!L14),"")</x:f>
        <x:v>Duplicate Risk</x:v>
      </x:c>
      <x:c r="M14" t="str">
        <x:f>IF(Data!$P14="High",IF(Data!M14="","",Data!M14),"")</x:f>
        <x:v>Matched</x:v>
      </x:c>
      <x:c r="N14" t="str">
        <x:f>IF(Data!$P14="High",IF(Data!N14="","",Data!N14),"")</x:f>
        <x:v>Review Tax</x:v>
      </x:c>
      <x:c r="O14" s="100" t="n">
        <x:f>IF(Data!$P14="High",Data!O14,"")</x:f>
        <x:v>37</x:v>
      </x:c>
      <x:c r="P14" t="str">
        <x:f>IF(Data!$P14="High",IF(Data!P14="","",Data!P14),"")</x:f>
        <x:v>High</x:v>
      </x:c>
      <x:c r="Q14" t="str">
        <x:f>IF(Data!$P14="High",IF(Data!Q14="","",Data!Q14),"")</x:f>
        <x:v>Duplicate risk; Tax variance; Overdue</x:v>
      </x:c>
    </x:row>
    <x:row r="15">
      <x:c r="A15" t="str">
        <x:f>IF(Data!$P15="High",IF(Data!A15="","",Data!A15),"")</x:f>
        <x:v>AP-0014</x:v>
      </x:c>
      <x:c r="B15" t="str">
        <x:f>IF(Data!$P15="High",IF(Data!B15="","",Data!B15),"")</x:f>
        <x:v>Vendor 4</x:v>
      </x:c>
      <x:c r="C15" t="str">
        <x:f>IF(Data!$P15="High",IF(Data!C15="","",Data!C15),"")</x:f>
        <x:v>INV-36225</x:v>
      </x:c>
      <x:c r="D15" t="str">
        <x:f>IF(Data!$P15="High",IF(Data!D15="","",Data!D15),"")</x:f>
        <x:v>PO-1090</x:v>
      </x:c>
      <x:c r="E15" s="123" t="n">
        <x:f>IF(Data!$P15="High",IF(Data!E15="","",Data!E15),"")</x:f>
        <x:v>46155</x:v>
      </x:c>
      <x:c r="F15" s="123" t="n">
        <x:f>IF(Data!$P15="High",IF(Data!F15="","",Data!F15),"")</x:f>
        <x:v>46170</x:v>
      </x:c>
      <x:c r="G15" s="124" t="n">
        <x:f>IF(Data!$P15="High",IF(Data!G15="","",Data!G15),"")</x:f>
        <x:v>10327.81</x:v>
      </x:c>
      <x:c r="H15" s="124" t="n">
        <x:f>IF(Data!$P15="High",IF(Data!H15="","",Data!H15),"")</x:f>
        <x:v>1340.27</x:v>
      </x:c>
      <x:c r="I15" s="124" t="n">
        <x:f>IF(Data!$P15="High",IF(Data!I15="","",Data!I15),"")</x:f>
        <x:v>11668.08</x:v>
      </x:c>
      <x:c r="J15" t="str">
        <x:f>IF(Data!$P15="High",IF(Data!J15="","",Data!J15),"")</x:f>
        <x:v>On Hold</x:v>
      </x:c>
      <x:c r="K15" t="str">
        <x:f>IF(Data!$P15="High",IF(Data!K15="","",Data!K15),"")</x:f>
        <x:v>Rejected</x:v>
      </x:c>
      <x:c r="L15" t="str">
        <x:f>IF(Data!$P15="High",IF(Data!L15="","",Data!L15),"")</x:f>
        <x:v>OK</x:v>
      </x:c>
      <x:c r="M15" t="str">
        <x:f>IF(Data!$P15="High",IF(Data!M15="","",Data!M15),"")</x:f>
        <x:v>Matched</x:v>
      </x:c>
      <x:c r="N15" t="str">
        <x:f>IF(Data!$P15="High",IF(Data!N15="","",Data!N15),"")</x:f>
        <x:v>Review Tax</x:v>
      </x:c>
      <x:c r="O15" s="100" t="n">
        <x:f>IF(Data!$P15="High",Data!O15,"")</x:f>
        <x:v>62</x:v>
      </x:c>
      <x:c r="P15" t="str">
        <x:f>IF(Data!$P15="High",IF(Data!P15="","",Data!P15),"")</x:f>
        <x:v>High</x:v>
      </x:c>
      <x:c r="Q15" t="str">
        <x:f>IF(Data!$P15="High",IF(Data!Q15="","",Data!Q15),"")</x:f>
        <x:v>Tax variance; Overdue; Approval issue</x:v>
      </x:c>
    </x:row>
    <x:row r="16">
      <x:c r="A16" t="str">
        <x:f>IF(Data!$P16="High",IF(Data!A16="","",Data!A16),"")</x:f>
        <x:v>AP-0015</x:v>
      </x:c>
      <x:c r="B16" t="str">
        <x:f>IF(Data!$P16="High",IF(Data!B16="","",Data!B16),"")</x:f>
        <x:v>Vendor 16</x:v>
      </x:c>
      <x:c r="C16" t="str">
        <x:f>IF(Data!$P16="High",IF(Data!C16="","",Data!C16),"")</x:f>
        <x:v>INV-25969</x:v>
      </x:c>
      <x:c r="D16" t="str">
        <x:f>IF(Data!$P16="High",IF(Data!D16="","",Data!D16),"")</x:f>
        <x:v>PO-1052</x:v>
      </x:c>
      <x:c r="E16" s="123" t="n">
        <x:f>IF(Data!$P16="High",IF(Data!E16="","",Data!E16),"")</x:f>
        <x:v>46190</x:v>
      </x:c>
      <x:c r="F16" s="123" t="n">
        <x:f>IF(Data!$P16="High",IF(Data!F16="","",Data!F16),"")</x:f>
        <x:v>46235</x:v>
      </x:c>
      <x:c r="G16" s="124" t="n">
        <x:f>IF(Data!$P16="High",IF(Data!G16="","",Data!G16),"")</x:f>
        <x:v>184.79</x:v>
      </x:c>
      <x:c r="H16" s="124" t="n">
        <x:f>IF(Data!$P16="High",IF(Data!H16="","",Data!H16),"")</x:f>
        <x:v>16.47</x:v>
      </x:c>
      <x:c r="I16" s="124" t="n">
        <x:f>IF(Data!$P16="High",IF(Data!I16="","",Data!I16),"")</x:f>
        <x:v>201.26</x:v>
      </x:c>
      <x:c r="J16" t="str">
        <x:f>IF(Data!$P16="High",IF(Data!J16="","",Data!J16),"")</x:f>
        <x:v>Unpaid</x:v>
      </x:c>
      <x:c r="K16" t="str">
        <x:f>IF(Data!$P16="High",IF(Data!K16="","",Data!K16),"")</x:f>
        <x:v>Pending</x:v>
      </x:c>
      <x:c r="L16" t="str">
        <x:f>IF(Data!$P16="High",IF(Data!L16="","",Data!L16),"")</x:f>
        <x:v>OK</x:v>
      </x:c>
      <x:c r="M16" t="str">
        <x:f>IF(Data!$P16="High",IF(Data!M16="","",Data!M16),"")</x:f>
        <x:v>Matched</x:v>
      </x:c>
      <x:c r="N16" t="str">
        <x:f>IF(Data!$P16="High",IF(Data!N16="","",Data!N16),"")</x:f>
        <x:v>Review Tax</x:v>
      </x:c>
      <x:c r="O16" s="100" t="n">
        <x:f>IF(Data!$P16="High",Data!O16,"")</x:f>
        <x:v>0</x:v>
      </x:c>
      <x:c r="P16" t="str">
        <x:f>IF(Data!$P16="High",IF(Data!P16="","",Data!P16),"")</x:f>
        <x:v>High</x:v>
      </x:c>
      <x:c r="Q16" t="str">
        <x:f>IF(Data!$P16="High",IF(Data!Q16="","",Data!Q16),"")</x:f>
        <x:v>Tax variance; Approval issue</x:v>
      </x:c>
    </x:row>
    <x:row r="17">
      <x:c r="A17" t="str">
        <x:f>IF(Data!$P17="High",IF(Data!A17="","",Data!A17),"")</x:f>
        <x:v>AP-0016</x:v>
      </x:c>
      <x:c r="B17" t="str">
        <x:f>IF(Data!$P17="High",IF(Data!B17="","",Data!B17),"")</x:f>
        <x:v>Vendor 16</x:v>
      </x:c>
      <x:c r="C17" t="str">
        <x:f>IF(Data!$P17="High",IF(Data!C17="","",Data!C17),"")</x:f>
        <x:v>INV-36689</x:v>
      </x:c>
      <x:c r="D17" t="str">
        <x:f>IF(Data!$P17="High",IF(Data!D17="","",Data!D17),"")</x:f>
      </x:c>
      <x:c r="E17" s="123" t="n">
        <x:f>IF(Data!$P17="High",IF(Data!E17="","",Data!E17),"")</x:f>
        <x:v>46164</x:v>
      </x:c>
      <x:c r="F17" s="123" t="n">
        <x:f>IF(Data!$P17="High",IF(Data!F17="","",Data!F17),"")</x:f>
        <x:v>46209</x:v>
      </x:c>
      <x:c r="G17" s="124" t="n">
        <x:f>IF(Data!$P17="High",IF(Data!G17="","",Data!G17),"")</x:f>
        <x:v>6008.44</x:v>
      </x:c>
      <x:c r="H17" s="124" t="n">
        <x:f>IF(Data!$P17="High",IF(Data!H17="","",Data!H17),"")</x:f>
        <x:v>781.1</x:v>
      </x:c>
      <x:c r="I17" s="124" t="n">
        <x:f>IF(Data!$P17="High",IF(Data!I17="","",Data!I17),"")</x:f>
        <x:v>6789.54</x:v>
      </x:c>
      <x:c r="J17" t="str">
        <x:f>IF(Data!$P17="High",IF(Data!J17="","",Data!J17),"")</x:f>
        <x:v>On Hold</x:v>
      </x:c>
      <x:c r="K17" t="str">
        <x:f>IF(Data!$P17="High",IF(Data!K17="","",Data!K17),"")</x:f>
        <x:v>Pending</x:v>
      </x:c>
      <x:c r="L17" t="str">
        <x:f>IF(Data!$P17="High",IF(Data!L17="","",Data!L17),"")</x:f>
        <x:v>OK</x:v>
      </x:c>
      <x:c r="M17" t="str">
        <x:f>IF(Data!$P17="High",IF(Data!M17="","",Data!M17),"")</x:f>
        <x:v>Missing PO</x:v>
      </x:c>
      <x:c r="N17" t="str">
        <x:f>IF(Data!$P17="High",IF(Data!N17="","",Data!N17),"")</x:f>
        <x:v>OK</x:v>
      </x:c>
      <x:c r="O17" s="100" t="n">
        <x:f>IF(Data!$P17="High",Data!O17,"")</x:f>
        <x:v>23</x:v>
      </x:c>
      <x:c r="P17" t="str">
        <x:f>IF(Data!$P17="High",IF(Data!P17="","",Data!P17),"")</x:f>
        <x:v>High</x:v>
      </x:c>
      <x:c r="Q17" t="str">
        <x:f>IF(Data!$P17="High",IF(Data!Q17="","",Data!Q17),"")</x:f>
        <x:v>Missing PO; Overdue; Approval issue</x:v>
      </x:c>
    </x:row>
    <x:row r="18">
      <x:c r="A18" t="str">
        <x:f>IF(Data!$P18="High",IF(Data!A18="","",Data!A18),"")</x:f>
        <x:v>AP-0017</x:v>
      </x:c>
      <x:c r="B18" t="str">
        <x:f>IF(Data!$P18="High",IF(Data!B18="","",Data!B18),"")</x:f>
        <x:v>Vendor 27</x:v>
      </x:c>
      <x:c r="C18" t="str">
        <x:f>IF(Data!$P18="High",IF(Data!C18="","",Data!C18),"")</x:f>
        <x:v>INV-28030</x:v>
      </x:c>
      <x:c r="D18" t="str">
        <x:f>IF(Data!$P18="High",IF(Data!D18="","",Data!D18),"")</x:f>
        <x:v>PO-1050</x:v>
      </x:c>
      <x:c r="E18" s="123" t="n">
        <x:f>IF(Data!$P18="High",IF(Data!E18="","",Data!E18),"")</x:f>
        <x:v>46172</x:v>
      </x:c>
      <x:c r="F18" s="123" t="n">
        <x:f>IF(Data!$P18="High",IF(Data!F18="","",Data!F18),"")</x:f>
        <x:v>46217</x:v>
      </x:c>
      <x:c r="G18" s="124" t="n">
        <x:f>IF(Data!$P18="High",IF(Data!G18="","",Data!G18),"")</x:f>
        <x:v>6843.79</x:v>
      </x:c>
      <x:c r="H18" s="124" t="n">
        <x:f>IF(Data!$P18="High",IF(Data!H18="","",Data!H18),"")</x:f>
        <x:v>889.69</x:v>
      </x:c>
      <x:c r="I18" s="124" t="n">
        <x:f>IF(Data!$P18="High",IF(Data!I18="","",Data!I18),"")</x:f>
        <x:v>7733.48</x:v>
      </x:c>
      <x:c r="J18" t="str">
        <x:f>IF(Data!$P18="High",IF(Data!J18="","",Data!J18),"")</x:f>
        <x:v>Unpaid</x:v>
      </x:c>
      <x:c r="K18" t="str">
        <x:f>IF(Data!$P18="High",IF(Data!K18="","",Data!K18),"")</x:f>
        <x:v>Pending</x:v>
      </x:c>
      <x:c r="L18" t="str">
        <x:f>IF(Data!$P18="High",IF(Data!L18="","",Data!L18),"")</x:f>
        <x:v>OK</x:v>
      </x:c>
      <x:c r="M18" t="str">
        <x:f>IF(Data!$P18="High",IF(Data!M18="","",Data!M18),"")</x:f>
        <x:v>Matched</x:v>
      </x:c>
      <x:c r="N18" t="str">
        <x:f>IF(Data!$P18="High",IF(Data!N18="","",Data!N18),"")</x:f>
        <x:v>OK</x:v>
      </x:c>
      <x:c r="O18" s="100" t="n">
        <x:f>IF(Data!$P18="High",Data!O18,"")</x:f>
        <x:v>15</x:v>
      </x:c>
      <x:c r="P18" t="str">
        <x:f>IF(Data!$P18="High",IF(Data!P18="","",Data!P18),"")</x:f>
        <x:v>High</x:v>
      </x:c>
      <x:c r="Q18" t="str">
        <x:f>IF(Data!$P18="High",IF(Data!Q18="","",Data!Q18),"")</x:f>
        <x:v>Overdue; Approval issue</x:v>
      </x:c>
    </x:row>
    <x:row r="19">
      <x:c r="A19" t="str">
        <x:f>IF(Data!$P19="High",IF(Data!A19="","",Data!A19),"")</x:f>
        <x:v>AP-0018</x:v>
      </x:c>
      <x:c r="B19" t="str">
        <x:f>IF(Data!$P19="High",IF(Data!B19="","",Data!B19),"")</x:f>
        <x:v>Vendor 23</x:v>
      </x:c>
      <x:c r="C19" t="str">
        <x:f>IF(Data!$P19="High",IF(Data!C19="","",Data!C19),"")</x:f>
        <x:v>INV-24274</x:v>
      </x:c>
      <x:c r="D19" t="str">
        <x:f>IF(Data!$P19="High",IF(Data!D19="","",Data!D19),"")</x:f>
      </x:c>
      <x:c r="E19" s="123" t="n">
        <x:f>IF(Data!$P19="High",IF(Data!E19="","",Data!E19),"")</x:f>
        <x:v>46197</x:v>
      </x:c>
      <x:c r="F19" s="123" t="n">
        <x:f>IF(Data!$P19="High",IF(Data!F19="","",Data!F19),"")</x:f>
        <x:v>46212</x:v>
      </x:c>
      <x:c r="G19" s="124" t="n">
        <x:f>IF(Data!$P19="High",IF(Data!G19="","",Data!G19),"")</x:f>
        <x:v>4978.22</x:v>
      </x:c>
      <x:c r="H19" s="124" t="n">
        <x:f>IF(Data!$P19="High",IF(Data!H19="","",Data!H19),"")</x:f>
        <x:v>647.17</x:v>
      </x:c>
      <x:c r="I19" s="124" t="n">
        <x:f>IF(Data!$P19="High",IF(Data!I19="","",Data!I19),"")</x:f>
        <x:v>5625.39</x:v>
      </x:c>
      <x:c r="J19" t="str">
        <x:f>IF(Data!$P19="High",IF(Data!J19="","",Data!J19),"")</x:f>
        <x:v>On Hold</x:v>
      </x:c>
      <x:c r="K19" t="str">
        <x:f>IF(Data!$P19="High",IF(Data!K19="","",Data!K19),"")</x:f>
        <x:v>Pending</x:v>
      </x:c>
      <x:c r="L19" t="str">
        <x:f>IF(Data!$P19="High",IF(Data!L19="","",Data!L19),"")</x:f>
        <x:v>OK</x:v>
      </x:c>
      <x:c r="M19" t="str">
        <x:f>IF(Data!$P19="High",IF(Data!M19="","",Data!M19),"")</x:f>
        <x:v>Missing PO</x:v>
      </x:c>
      <x:c r="N19" t="str">
        <x:f>IF(Data!$P19="High",IF(Data!N19="","",Data!N19),"")</x:f>
        <x:v>OK</x:v>
      </x:c>
      <x:c r="O19" s="100" t="n">
        <x:f>IF(Data!$P19="High",Data!O19,"")</x:f>
        <x:v>20</x:v>
      </x:c>
      <x:c r="P19" t="str">
        <x:f>IF(Data!$P19="High",IF(Data!P19="","",Data!P19),"")</x:f>
        <x:v>High</x:v>
      </x:c>
      <x:c r="Q19" t="str">
        <x:f>IF(Data!$P19="High",IF(Data!Q19="","",Data!Q19),"")</x:f>
        <x:v>Missing PO; Overdue; Approval issue</x:v>
      </x:c>
    </x:row>
    <x:row r="20">
      <x:c r="A20" t="str">
        <x:f>IF(Data!$P20="High",IF(Data!A20="","",Data!A20),"")</x:f>
        <x:v>AP-0019</x:v>
      </x:c>
      <x:c r="B20" t="str">
        <x:f>IF(Data!$P20="High",IF(Data!B20="","",Data!B20),"")</x:f>
        <x:v>Vendor 7</x:v>
      </x:c>
      <x:c r="C20" t="str">
        <x:f>IF(Data!$P20="High",IF(Data!C20="","",Data!C20),"")</x:f>
        <x:v>INV-48050</x:v>
      </x:c>
      <x:c r="D20" t="str">
        <x:f>IF(Data!$P20="High",IF(Data!D20="","",Data!D20),"")</x:f>
      </x:c>
      <x:c r="E20" s="123" t="n">
        <x:f>IF(Data!$P20="High",IF(Data!E20="","",Data!E20),"")</x:f>
        <x:v>46172</x:v>
      </x:c>
      <x:c r="F20" s="123" t="n">
        <x:f>IF(Data!$P20="High",IF(Data!F20="","",Data!F20),"")</x:f>
        <x:v>46187</x:v>
      </x:c>
      <x:c r="G20" s="124" t="n">
        <x:f>IF(Data!$P20="High",IF(Data!G20="","",Data!G20),"")</x:f>
        <x:v>1372.08</x:v>
      </x:c>
      <x:c r="H20" s="124" t="n">
        <x:f>IF(Data!$P20="High",IF(Data!H20="","",Data!H20),"")</x:f>
        <x:v>178.37</x:v>
      </x:c>
      <x:c r="I20" s="124" t="n">
        <x:f>IF(Data!$P20="High",IF(Data!I20="","",Data!I20),"")</x:f>
        <x:v>1550.4499999999998</x:v>
      </x:c>
      <x:c r="J20" t="str">
        <x:f>IF(Data!$P20="High",IF(Data!J20="","",Data!J20),"")</x:f>
        <x:v>Unpaid</x:v>
      </x:c>
      <x:c r="K20" t="str">
        <x:f>IF(Data!$P20="High",IF(Data!K20="","",Data!K20),"")</x:f>
        <x:v>Pending</x:v>
      </x:c>
      <x:c r="L20" t="str">
        <x:f>IF(Data!$P20="High",IF(Data!L20="","",Data!L20),"")</x:f>
        <x:v>OK</x:v>
      </x:c>
      <x:c r="M20" t="str">
        <x:f>IF(Data!$P20="High",IF(Data!M20="","",Data!M20),"")</x:f>
        <x:v>Missing PO</x:v>
      </x:c>
      <x:c r="N20" t="str">
        <x:f>IF(Data!$P20="High",IF(Data!N20="","",Data!N20),"")</x:f>
        <x:v>OK</x:v>
      </x:c>
      <x:c r="O20" s="100" t="n">
        <x:f>IF(Data!$P20="High",Data!O20,"")</x:f>
        <x:v>45</x:v>
      </x:c>
      <x:c r="P20" t="str">
        <x:f>IF(Data!$P20="High",IF(Data!P20="","",Data!P20),"")</x:f>
        <x:v>High</x:v>
      </x:c>
      <x:c r="Q20" t="str">
        <x:f>IF(Data!$P20="High",IF(Data!Q20="","",Data!Q20),"")</x:f>
        <x:v>Missing PO; Overdue; Approval issue</x:v>
      </x:c>
    </x:row>
    <x:row r="21">
      <x:c r="A21" t="str">
        <x:f>IF(Data!$P21="High",IF(Data!A21="","",Data!A21),"")</x:f>
        <x:v>AP-0020</x:v>
      </x:c>
      <x:c r="B21" t="str">
        <x:f>IF(Data!$P21="High",IF(Data!B21="","",Data!B21),"")</x:f>
        <x:v>Vendor 7</x:v>
      </x:c>
      <x:c r="C21" t="str">
        <x:f>IF(Data!$P21="High",IF(Data!C21="","",Data!C21),"")</x:f>
        <x:v>INV-36490</x:v>
      </x:c>
      <x:c r="D21" t="str">
        <x:f>IF(Data!$P21="High",IF(Data!D21="","",Data!D21),"")</x:f>
        <x:v>PO-1083</x:v>
      </x:c>
      <x:c r="E21" s="123" t="n">
        <x:f>IF(Data!$P21="High",IF(Data!E21="","",Data!E21),"")</x:f>
        <x:v>46167</x:v>
      </x:c>
      <x:c r="F21" s="123" t="n">
        <x:f>IF(Data!$P21="High",IF(Data!F21="","",Data!F21),"")</x:f>
        <x:v>46197</x:v>
      </x:c>
      <x:c r="G21" s="124" t="n">
        <x:f>IF(Data!$P21="High",IF(Data!G21="","",Data!G21),"")</x:f>
        <x:v>7057.07</x:v>
      </x:c>
      <x:c r="H21" s="124" t="n">
        <x:f>IF(Data!$P21="High",IF(Data!H21="","",Data!H21),"")</x:f>
        <x:v>917.42</x:v>
      </x:c>
      <x:c r="I21" s="124" t="n">
        <x:f>IF(Data!$P21="High",IF(Data!I21="","",Data!I21),"")</x:f>
        <x:v>7974.49</x:v>
      </x:c>
      <x:c r="J21" t="str">
        <x:f>IF(Data!$P21="High",IF(Data!J21="","",Data!J21),"")</x:f>
        <x:v>Paid</x:v>
      </x:c>
      <x:c r="K21" t="str">
        <x:f>IF(Data!$P21="High",IF(Data!K21="","",Data!K21),"")</x:f>
        <x:v>Pending</x:v>
      </x:c>
      <x:c r="L21" t="str">
        <x:f>IF(Data!$P21="High",IF(Data!L21="","",Data!L21),"")</x:f>
        <x:v>OK</x:v>
      </x:c>
      <x:c r="M21" t="str">
        <x:f>IF(Data!$P21="High",IF(Data!M21="","",Data!M21),"")</x:f>
        <x:v>Matched</x:v>
      </x:c>
      <x:c r="N21" t="str">
        <x:f>IF(Data!$P21="High",IF(Data!N21="","",Data!N21),"")</x:f>
        <x:v>OK</x:v>
      </x:c>
      <x:c r="O21" s="100" t="n">
        <x:f>IF(Data!$P21="High",Data!O21,"")</x:f>
        <x:v>0</x:v>
      </x:c>
      <x:c r="P21" t="str">
        <x:f>IF(Data!$P21="High",IF(Data!P21="","",Data!P21),"")</x:f>
        <x:v>High</x:v>
      </x:c>
      <x:c r="Q21" t="str">
        <x:f>IF(Data!$P21="High",IF(Data!Q21="","",Data!Q21),"")</x:f>
        <x:v>Approval issue</x:v>
      </x:c>
    </x:row>
    <x:row r="22">
      <x:c r="A22" t="str">
        <x:f>IF(Data!$P22="High",IF(Data!A22="","",Data!A22),"")</x:f>
        <x:v>AP-0021</x:v>
      </x:c>
      <x:c r="B22" t="str">
        <x:f>IF(Data!$P22="High",IF(Data!B22="","",Data!B22),"")</x:f>
        <x:v>Vendor 23</x:v>
      </x:c>
      <x:c r="C22" t="str">
        <x:f>IF(Data!$P22="High",IF(Data!C22="","",Data!C22),"")</x:f>
        <x:v>INV-43390</x:v>
      </x:c>
      <x:c r="D22" t="str">
        <x:f>IF(Data!$P22="High",IF(Data!D22="","",Data!D22),"")</x:f>
        <x:v>PO-1039</x:v>
      </x:c>
      <x:c r="E22" s="123" t="n">
        <x:f>IF(Data!$P22="High",IF(Data!E22="","",Data!E22),"")</x:f>
        <x:v>46149</x:v>
      </x:c>
      <x:c r="F22" s="123" t="n">
        <x:f>IF(Data!$P22="High",IF(Data!F22="","",Data!F22),"")</x:f>
        <x:v>46179</x:v>
      </x:c>
      <x:c r="G22" s="124" t="n">
        <x:f>IF(Data!$P22="High",IF(Data!G22="","",Data!G22),"")</x:f>
        <x:v>10795.82</x:v>
      </x:c>
      <x:c r="H22" s="124" t="n">
        <x:f>IF(Data!$P22="High",IF(Data!H22="","",Data!H22),"")</x:f>
        <x:v>1403.46</x:v>
      </x:c>
      <x:c r="I22" s="124" t="n">
        <x:f>IF(Data!$P22="High",IF(Data!I22="","",Data!I22),"")</x:f>
        <x:v>12199.279999999999</x:v>
      </x:c>
      <x:c r="J22" t="str">
        <x:f>IF(Data!$P22="High",IF(Data!J22="","",Data!J22),"")</x:f>
        <x:v>On Hold</x:v>
      </x:c>
      <x:c r="K22" t="str">
        <x:f>IF(Data!$P22="High",IF(Data!K22="","",Data!K22),"")</x:f>
        <x:v>Pending</x:v>
      </x:c>
      <x:c r="L22" t="str">
        <x:f>IF(Data!$P22="High",IF(Data!L22="","",Data!L22),"")</x:f>
        <x:v>OK</x:v>
      </x:c>
      <x:c r="M22" t="str">
        <x:f>IF(Data!$P22="High",IF(Data!M22="","",Data!M22),"")</x:f>
        <x:v>Matched</x:v>
      </x:c>
      <x:c r="N22" t="str">
        <x:f>IF(Data!$P22="High",IF(Data!N22="","",Data!N22),"")</x:f>
        <x:v>OK</x:v>
      </x:c>
      <x:c r="O22" s="100" t="n">
        <x:f>IF(Data!$P22="High",Data!O22,"")</x:f>
        <x:v>53</x:v>
      </x:c>
      <x:c r="P22" t="str">
        <x:f>IF(Data!$P22="High",IF(Data!P22="","",Data!P22),"")</x:f>
        <x:v>High</x:v>
      </x:c>
      <x:c r="Q22" t="str">
        <x:f>IF(Data!$P22="High",IF(Data!Q22="","",Data!Q22),"")</x:f>
        <x:v>Overdue; Approval issue</x:v>
      </x:c>
    </x:row>
    <x:row r="23">
      <x:c r="A23" t="str">
        <x:f>IF(Data!$P23="High",IF(Data!A23="","",Data!A23),"")</x:f>
        <x:v>AP-0022</x:v>
      </x:c>
      <x:c r="B23" t="str">
        <x:f>IF(Data!$P23="High",IF(Data!B23="","",Data!B23),"")</x:f>
        <x:v>Vendor 19</x:v>
      </x:c>
      <x:c r="C23" t="str">
        <x:f>IF(Data!$P23="High",IF(Data!C23="","",Data!C23),"")</x:f>
        <x:v>INV-39550</x:v>
      </x:c>
      <x:c r="D23" t="str">
        <x:f>IF(Data!$P23="High",IF(Data!D23="","",Data!D23),"")</x:f>
      </x:c>
      <x:c r="E23" s="123" t="n">
        <x:f>IF(Data!$P23="High",IF(Data!E23="","",Data!E23),"")</x:f>
        <x:v>46169</x:v>
      </x:c>
      <x:c r="F23" s="123" t="n">
        <x:f>IF(Data!$P23="High",IF(Data!F23="","",Data!F23),"")</x:f>
        <x:v>46214</x:v>
      </x:c>
      <x:c r="G23" s="124" t="n">
        <x:f>IF(Data!$P23="High",IF(Data!G23="","",Data!G23),"")</x:f>
        <x:v>11983.5</x:v>
      </x:c>
      <x:c r="H23" s="124" t="n">
        <x:f>IF(Data!$P23="High",IF(Data!H23="","",Data!H23),"")</x:f>
        <x:v>1557.86</x:v>
      </x:c>
      <x:c r="I23" s="124" t="n">
        <x:f>IF(Data!$P23="High",IF(Data!I23="","",Data!I23),"")</x:f>
        <x:v>13541.36</x:v>
      </x:c>
      <x:c r="J23" t="str">
        <x:f>IF(Data!$P23="High",IF(Data!J23="","",Data!J23),"")</x:f>
        <x:v>On Hold</x:v>
      </x:c>
      <x:c r="K23" t="str">
        <x:f>IF(Data!$P23="High",IF(Data!K23="","",Data!K23),"")</x:f>
        <x:v>Rejected</x:v>
      </x:c>
      <x:c r="L23" t="str">
        <x:f>IF(Data!$P23="High",IF(Data!L23="","",Data!L23),"")</x:f>
        <x:v>OK</x:v>
      </x:c>
      <x:c r="M23" t="str">
        <x:f>IF(Data!$P23="High",IF(Data!M23="","",Data!M23),"")</x:f>
        <x:v>Missing PO</x:v>
      </x:c>
      <x:c r="N23" t="str">
        <x:f>IF(Data!$P23="High",IF(Data!N23="","",Data!N23),"")</x:f>
        <x:v>OK</x:v>
      </x:c>
      <x:c r="O23" s="100" t="n">
        <x:f>IF(Data!$P23="High",Data!O23,"")</x:f>
        <x:v>18</x:v>
      </x:c>
      <x:c r="P23" t="str">
        <x:f>IF(Data!$P23="High",IF(Data!P23="","",Data!P23),"")</x:f>
        <x:v>High</x:v>
      </x:c>
      <x:c r="Q23" t="str">
        <x:f>IF(Data!$P23="High",IF(Data!Q23="","",Data!Q23),"")</x:f>
        <x:v>Missing PO; Overdue; Approval issue</x:v>
      </x:c>
    </x:row>
    <x:row r="24">
      <x:c r="A24" t="str">
        <x:f>IF(Data!$P24="High",IF(Data!A24="","",Data!A24),"")</x:f>
        <x:v>AP-0023</x:v>
      </x:c>
      <x:c r="B24" t="str">
        <x:f>IF(Data!$P24="High",IF(Data!B24="","",Data!B24),"")</x:f>
        <x:v>Vendor 12</x:v>
      </x:c>
      <x:c r="C24" t="str">
        <x:f>IF(Data!$P24="High",IF(Data!C24="","",Data!C24),"")</x:f>
        <x:v>INV-46939</x:v>
      </x:c>
      <x:c r="D24" t="str">
        <x:f>IF(Data!$P24="High",IF(Data!D24="","",Data!D24),"")</x:f>
      </x:c>
      <x:c r="E24" s="123" t="n">
        <x:f>IF(Data!$P24="High",IF(Data!E24="","",Data!E24),"")</x:f>
        <x:v>46160</x:v>
      </x:c>
      <x:c r="F24" s="123" t="n">
        <x:f>IF(Data!$P24="High",IF(Data!F24="","",Data!F24),"")</x:f>
        <x:v>46205</x:v>
      </x:c>
      <x:c r="G24" s="124" t="n">
        <x:f>IF(Data!$P24="High",IF(Data!G24="","",Data!G24),"")</x:f>
        <x:v>8875.78</x:v>
      </x:c>
      <x:c r="H24" s="124" t="n">
        <x:f>IF(Data!$P24="High",IF(Data!H24="","",Data!H24),"")</x:f>
        <x:v>1153.85</x:v>
      </x:c>
      <x:c r="I24" s="124" t="n">
        <x:f>IF(Data!$P24="High",IF(Data!I24="","",Data!I24),"")</x:f>
        <x:v>10029.630000000001</x:v>
      </x:c>
      <x:c r="J24" t="str">
        <x:f>IF(Data!$P24="High",IF(Data!J24="","",Data!J24),"")</x:f>
        <x:v>Paid</x:v>
      </x:c>
      <x:c r="K24" t="str">
        <x:f>IF(Data!$P24="High",IF(Data!K24="","",Data!K24),"")</x:f>
        <x:v>Rejected</x:v>
      </x:c>
      <x:c r="L24" t="str">
        <x:f>IF(Data!$P24="High",IF(Data!L24="","",Data!L24),"")</x:f>
        <x:v>OK</x:v>
      </x:c>
      <x:c r="M24" t="str">
        <x:f>IF(Data!$P24="High",IF(Data!M24="","",Data!M24),"")</x:f>
        <x:v>Missing PO</x:v>
      </x:c>
      <x:c r="N24" t="str">
        <x:f>IF(Data!$P24="High",IF(Data!N24="","",Data!N24),"")</x:f>
        <x:v>OK</x:v>
      </x:c>
      <x:c r="O24" s="100" t="n">
        <x:f>IF(Data!$P24="High",Data!O24,"")</x:f>
        <x:v>0</x:v>
      </x:c>
      <x:c r="P24" t="str">
        <x:f>IF(Data!$P24="High",IF(Data!P24="","",Data!P24),"")</x:f>
        <x:v>High</x:v>
      </x:c>
      <x:c r="Q24" t="str">
        <x:f>IF(Data!$P24="High",IF(Data!Q24="","",Data!Q24),"")</x:f>
        <x:v>Missing PO; Approval issue</x:v>
      </x:c>
    </x:row>
    <x:row r="25">
      <x:c r="A25" t="str">
        <x:f>IF(Data!$P25="High",IF(Data!A25="","",Data!A25),"")</x:f>
        <x:v>AP-0024</x:v>
      </x:c>
      <x:c r="B25" t="str">
        <x:f>IF(Data!$P25="High",IF(Data!B25="","",Data!B25),"")</x:f>
        <x:v>Vendor 2</x:v>
      </x:c>
      <x:c r="C25" t="str">
        <x:f>IF(Data!$P25="High",IF(Data!C25="","",Data!C25),"")</x:f>
        <x:v>INV-31914</x:v>
      </x:c>
      <x:c r="D25" t="str">
        <x:f>IF(Data!$P25="High",IF(Data!D25="","",Data!D25),"")</x:f>
      </x:c>
      <x:c r="E25" s="123" t="n">
        <x:f>IF(Data!$P25="High",IF(Data!E25="","",Data!E25),"")</x:f>
        <x:v>46191</x:v>
      </x:c>
      <x:c r="F25" s="123" t="n">
        <x:f>IF(Data!$P25="High",IF(Data!F25="","",Data!F25),"")</x:f>
        <x:v>46236</x:v>
      </x:c>
      <x:c r="G25" s="124" t="n">
        <x:f>IF(Data!$P25="High",IF(Data!G25="","",Data!G25),"")</x:f>
        <x:v>2531.91</x:v>
      </x:c>
      <x:c r="H25" s="124" t="n">
        <x:f>IF(Data!$P25="High",IF(Data!H25="","",Data!H25),"")</x:f>
        <x:v>329.15</x:v>
      </x:c>
      <x:c r="I25" s="124" t="n">
        <x:f>IF(Data!$P25="High",IF(Data!I25="","",Data!I25),"")</x:f>
        <x:v>2861.06</x:v>
      </x:c>
      <x:c r="J25" t="str">
        <x:f>IF(Data!$P25="High",IF(Data!J25="","",Data!J25),"")</x:f>
        <x:v>Paid</x:v>
      </x:c>
      <x:c r="K25" t="str">
        <x:f>IF(Data!$P25="High",IF(Data!K25="","",Data!K25),"")</x:f>
        <x:v>Approved</x:v>
      </x:c>
      <x:c r="L25" t="str">
        <x:f>IF(Data!$P25="High",IF(Data!L25="","",Data!L25),"")</x:f>
        <x:v>OK</x:v>
      </x:c>
      <x:c r="M25" t="str">
        <x:f>IF(Data!$P25="High",IF(Data!M25="","",Data!M25),"")</x:f>
        <x:v>Missing PO</x:v>
      </x:c>
      <x:c r="N25" t="str">
        <x:f>IF(Data!$P25="High",IF(Data!N25="","",Data!N25),"")</x:f>
        <x:v>OK</x:v>
      </x:c>
      <x:c r="O25" s="100" t="n">
        <x:f>IF(Data!$P25="High",Data!O25,"")</x:f>
        <x:v>0</x:v>
      </x:c>
      <x:c r="P25" t="str">
        <x:f>IF(Data!$P25="High",IF(Data!P25="","",Data!P25),"")</x:f>
        <x:v>High</x:v>
      </x:c>
      <x:c r="Q25" t="str">
        <x:f>IF(Data!$P25="High",IF(Data!Q25="","",Data!Q25),"")</x:f>
        <x:v>Missing PO</x:v>
      </x:c>
    </x:row>
    <x:row r="26">
      <x:c r="A26" t="str">
        <x:f>IF(Data!$P26="High",IF(Data!A26="","",Data!A26),"")</x:f>
        <x:v>AP-0025</x:v>
      </x:c>
      <x:c r="B26" t="str">
        <x:f>IF(Data!$P26="High",IF(Data!B26="","",Data!B26),"")</x:f>
        <x:v>Vendor 9</x:v>
      </x:c>
      <x:c r="C26" t="str">
        <x:f>IF(Data!$P26="High",IF(Data!C26="","",Data!C26),"")</x:f>
        <x:v>INV-38128</x:v>
      </x:c>
      <x:c r="D26" t="str">
        <x:f>IF(Data!$P26="High",IF(Data!D26="","",Data!D26),"")</x:f>
      </x:c>
      <x:c r="E26" s="123" t="n">
        <x:f>IF(Data!$P26="High",IF(Data!E26="","",Data!E26),"")</x:f>
        <x:v>46162</x:v>
      </x:c>
      <x:c r="F26" s="123" t="n">
        <x:f>IF(Data!$P26="High",IF(Data!F26="","",Data!F26),"")</x:f>
        <x:v>46177</x:v>
      </x:c>
      <x:c r="G26" s="124" t="n">
        <x:f>IF(Data!$P26="High",IF(Data!G26="","",Data!G26),"")</x:f>
        <x:v>2327.44</x:v>
      </x:c>
      <x:c r="H26" s="124" t="n">
        <x:f>IF(Data!$P26="High",IF(Data!H26="","",Data!H26),"")</x:f>
        <x:v>302.57</x:v>
      </x:c>
      <x:c r="I26" s="124" t="n">
        <x:f>IF(Data!$P26="High",IF(Data!I26="","",Data!I26),"")</x:f>
        <x:v>2630.01</x:v>
      </x:c>
      <x:c r="J26" t="str">
        <x:f>IF(Data!$P26="High",IF(Data!J26="","",Data!J26),"")</x:f>
        <x:v>Paid</x:v>
      </x:c>
      <x:c r="K26" t="str">
        <x:f>IF(Data!$P26="High",IF(Data!K26="","",Data!K26),"")</x:f>
        <x:v>Approved</x:v>
      </x:c>
      <x:c r="L26" t="str">
        <x:f>IF(Data!$P26="High",IF(Data!L26="","",Data!L26),"")</x:f>
        <x:v>OK</x:v>
      </x:c>
      <x:c r="M26" t="str">
        <x:f>IF(Data!$P26="High",IF(Data!M26="","",Data!M26),"")</x:f>
        <x:v>Missing PO</x:v>
      </x:c>
      <x:c r="N26" t="str">
        <x:f>IF(Data!$P26="High",IF(Data!N26="","",Data!N26),"")</x:f>
        <x:v>OK</x:v>
      </x:c>
      <x:c r="O26" s="100" t="n">
        <x:f>IF(Data!$P26="High",Data!O26,"")</x:f>
        <x:v>0</x:v>
      </x:c>
      <x:c r="P26" t="str">
        <x:f>IF(Data!$P26="High",IF(Data!P26="","",Data!P26),"")</x:f>
        <x:v>High</x:v>
      </x:c>
      <x:c r="Q26" t="str">
        <x:f>IF(Data!$P26="High",IF(Data!Q26="","",Data!Q26),"")</x:f>
        <x:v>Missing PO</x:v>
      </x:c>
    </x:row>
    <x:row r="27">
      <x:c r="A27" t="str">
        <x:f>IF(Data!$P27="High",IF(Data!A27="","",Data!A27),"")</x:f>
        <x:v>AP-0026</x:v>
      </x:c>
      <x:c r="B27" t="str">
        <x:f>IF(Data!$P27="High",IF(Data!B27="","",Data!B27),"")</x:f>
        <x:v>Vendor 15</x:v>
      </x:c>
      <x:c r="C27" t="str">
        <x:f>IF(Data!$P27="High",IF(Data!C27="","",Data!C27),"")</x:f>
        <x:v>INV-26365</x:v>
      </x:c>
      <x:c r="D27" t="str">
        <x:f>IF(Data!$P27="High",IF(Data!D27="","",Data!D27),"")</x:f>
      </x:c>
      <x:c r="E27" s="123" t="n">
        <x:f>IF(Data!$P27="High",IF(Data!E27="","",Data!E27),"")</x:f>
        <x:v>46178</x:v>
      </x:c>
      <x:c r="F27" s="123" t="n">
        <x:f>IF(Data!$P27="High",IF(Data!F27="","",Data!F27),"")</x:f>
        <x:v>46193</x:v>
      </x:c>
      <x:c r="G27" s="124" t="n">
        <x:f>IF(Data!$P27="High",IF(Data!G27="","",Data!G27),"")</x:f>
        <x:v>9290.62</x:v>
      </x:c>
      <x:c r="H27" s="124" t="n">
        <x:f>IF(Data!$P27="High",IF(Data!H27="","",Data!H27),"")</x:f>
        <x:v>1207.78</x:v>
      </x:c>
      <x:c r="I27" s="124" t="n">
        <x:f>IF(Data!$P27="High",IF(Data!I27="","",Data!I27),"")</x:f>
        <x:v>10498.400000000001</x:v>
      </x:c>
      <x:c r="J27" t="str">
        <x:f>IF(Data!$P27="High",IF(Data!J27="","",Data!J27),"")</x:f>
        <x:v>On Hold</x:v>
      </x:c>
      <x:c r="K27" t="str">
        <x:f>IF(Data!$P27="High",IF(Data!K27="","",Data!K27),"")</x:f>
        <x:v>Approved</x:v>
      </x:c>
      <x:c r="L27" t="str">
        <x:f>IF(Data!$P27="High",IF(Data!L27="","",Data!L27),"")</x:f>
        <x:v>OK</x:v>
      </x:c>
      <x:c r="M27" t="str">
        <x:f>IF(Data!$P27="High",IF(Data!M27="","",Data!M27),"")</x:f>
        <x:v>Missing PO</x:v>
      </x:c>
      <x:c r="N27" t="str">
        <x:f>IF(Data!$P27="High",IF(Data!N27="","",Data!N27),"")</x:f>
        <x:v>OK</x:v>
      </x:c>
      <x:c r="O27" s="100" t="n">
        <x:f>IF(Data!$P27="High",Data!O27,"")</x:f>
        <x:v>39</x:v>
      </x:c>
      <x:c r="P27" t="str">
        <x:f>IF(Data!$P27="High",IF(Data!P27="","",Data!P27),"")</x:f>
        <x:v>High</x:v>
      </x:c>
      <x:c r="Q27" t="str">
        <x:f>IF(Data!$P27="High",IF(Data!Q27="","",Data!Q27),"")</x:f>
        <x:v>Missing PO; Overdue</x:v>
      </x:c>
    </x:row>
    <x:row r="28">
      <x:c r="A28" t="str">
        <x:f>IF(Data!$P28="High",IF(Data!A28="","",Data!A28),"")</x:f>
        <x:v>AP-0027</x:v>
      </x:c>
      <x:c r="B28" t="str">
        <x:f>IF(Data!$P28="High",IF(Data!B28="","",Data!B28),"")</x:f>
        <x:v>Vendor 6</x:v>
      </x:c>
      <x:c r="C28" t="str">
        <x:f>IF(Data!$P28="High",IF(Data!C28="","",Data!C28),"")</x:f>
        <x:v>INV-25242</x:v>
      </x:c>
      <x:c r="D28" t="str">
        <x:f>IF(Data!$P28="High",IF(Data!D28="","",Data!D28),"")</x:f>
      </x:c>
      <x:c r="E28" s="123" t="n">
        <x:f>IF(Data!$P28="High",IF(Data!E28="","",Data!E28),"")</x:f>
        <x:v>46186</x:v>
      </x:c>
      <x:c r="F28" s="123" t="n">
        <x:f>IF(Data!$P28="High",IF(Data!F28="","",Data!F28),"")</x:f>
        <x:v>46216</x:v>
      </x:c>
      <x:c r="G28" s="124" t="n">
        <x:f>IF(Data!$P28="High",IF(Data!G28="","",Data!G28),"")</x:f>
        <x:v>1572.58</x:v>
      </x:c>
      <x:c r="H28" s="124" t="n">
        <x:f>IF(Data!$P28="High",IF(Data!H28="","",Data!H28),"")</x:f>
        <x:v>204.44</x:v>
      </x:c>
      <x:c r="I28" s="124" t="n">
        <x:f>IF(Data!$P28="High",IF(Data!I28="","",Data!I28),"")</x:f>
        <x:v>1777.02</x:v>
      </x:c>
      <x:c r="J28" t="str">
        <x:f>IF(Data!$P28="High",IF(Data!J28="","",Data!J28),"")</x:f>
        <x:v>On Hold</x:v>
      </x:c>
      <x:c r="K28" t="str">
        <x:f>IF(Data!$P28="High",IF(Data!K28="","",Data!K28),"")</x:f>
        <x:v>Rejected</x:v>
      </x:c>
      <x:c r="L28" t="str">
        <x:f>IF(Data!$P28="High",IF(Data!L28="","",Data!L28),"")</x:f>
        <x:v>OK</x:v>
      </x:c>
      <x:c r="M28" t="str">
        <x:f>IF(Data!$P28="High",IF(Data!M28="","",Data!M28),"")</x:f>
        <x:v>Missing PO</x:v>
      </x:c>
      <x:c r="N28" t="str">
        <x:f>IF(Data!$P28="High",IF(Data!N28="","",Data!N28),"")</x:f>
        <x:v>OK</x:v>
      </x:c>
      <x:c r="O28" s="100" t="n">
        <x:f>IF(Data!$P28="High",Data!O28,"")</x:f>
        <x:v>16</x:v>
      </x:c>
      <x:c r="P28" t="str">
        <x:f>IF(Data!$P28="High",IF(Data!P28="","",Data!P28),"")</x:f>
        <x:v>High</x:v>
      </x:c>
      <x:c r="Q28" t="str">
        <x:f>IF(Data!$P28="High",IF(Data!Q28="","",Data!Q28),"")</x:f>
        <x:v>Missing PO; Overdue; Approval issue</x:v>
      </x:c>
    </x:row>
    <x:row r="29">
      <x:c r="A29" t="str">
        <x:f>IF(Data!$P29="High",IF(Data!A29="","",Data!A29),"")</x:f>
        <x:v>AP-0028</x:v>
      </x:c>
      <x:c r="B29" t="str">
        <x:f>IF(Data!$P29="High",IF(Data!B29="","",Data!B29),"")</x:f>
        <x:v>Vendor 13</x:v>
      </x:c>
      <x:c r="C29" t="str">
        <x:f>IF(Data!$P29="High",IF(Data!C29="","",Data!C29),"")</x:f>
        <x:v>INV-31705</x:v>
      </x:c>
      <x:c r="D29" t="str">
        <x:f>IF(Data!$P29="High",IF(Data!D29="","",Data!D29),"")</x:f>
      </x:c>
      <x:c r="E29" s="123" t="n">
        <x:f>IF(Data!$P29="High",IF(Data!E29="","",Data!E29),"")</x:f>
        <x:v>46168</x:v>
      </x:c>
      <x:c r="F29" s="123" t="n">
        <x:f>IF(Data!$P29="High",IF(Data!F29="","",Data!F29),"")</x:f>
        <x:v>46198</x:v>
      </x:c>
      <x:c r="G29" s="124" t="n">
        <x:f>IF(Data!$P29="High",IF(Data!G29="","",Data!G29),"")</x:f>
        <x:v>1351.24</x:v>
      </x:c>
      <x:c r="H29" s="124" t="n">
        <x:f>IF(Data!$P29="High",IF(Data!H29="","",Data!H29),"")</x:f>
        <x:v>175.66</x:v>
      </x:c>
      <x:c r="I29" s="124" t="n">
        <x:f>IF(Data!$P29="High",IF(Data!I29="","",Data!I29),"")</x:f>
        <x:v>1526.9</x:v>
      </x:c>
      <x:c r="J29" t="str">
        <x:f>IF(Data!$P29="High",IF(Data!J29="","",Data!J29),"")</x:f>
        <x:v>On Hold</x:v>
      </x:c>
      <x:c r="K29" t="str">
        <x:f>IF(Data!$P29="High",IF(Data!K29="","",Data!K29),"")</x:f>
        <x:v>Approved</x:v>
      </x:c>
      <x:c r="L29" t="str">
        <x:f>IF(Data!$P29="High",IF(Data!L29="","",Data!L29),"")</x:f>
        <x:v>OK</x:v>
      </x:c>
      <x:c r="M29" t="str">
        <x:f>IF(Data!$P29="High",IF(Data!M29="","",Data!M29),"")</x:f>
        <x:v>Missing PO</x:v>
      </x:c>
      <x:c r="N29" t="str">
        <x:f>IF(Data!$P29="High",IF(Data!N29="","",Data!N29),"")</x:f>
        <x:v>OK</x:v>
      </x:c>
      <x:c r="O29" s="100" t="n">
        <x:f>IF(Data!$P29="High",Data!O29,"")</x:f>
        <x:v>34</x:v>
      </x:c>
      <x:c r="P29" t="str">
        <x:f>IF(Data!$P29="High",IF(Data!P29="","",Data!P29),"")</x:f>
        <x:v>High</x:v>
      </x:c>
      <x:c r="Q29" t="str">
        <x:f>IF(Data!$P29="High",IF(Data!Q29="","",Data!Q29),"")</x:f>
        <x:v>Missing PO; Overdue</x:v>
      </x:c>
    </x:row>
    <x:row r="30">
      <x:c r="A30" t="str">
        <x:f>IF(Data!$P30="High",IF(Data!A30="","",Data!A30),"")</x:f>
        <x:v>AP-0029</x:v>
      </x:c>
      <x:c r="B30" t="str">
        <x:f>IF(Data!$P30="High",IF(Data!B30="","",Data!B30),"")</x:f>
        <x:v>Vendor 23</x:v>
      </x:c>
      <x:c r="C30" t="str">
        <x:f>IF(Data!$P30="High",IF(Data!C30="","",Data!C30),"")</x:f>
        <x:v>INV-21818</x:v>
      </x:c>
      <x:c r="D30" t="str">
        <x:f>IF(Data!$P30="High",IF(Data!D30="","",Data!D30),"")</x:f>
      </x:c>
      <x:c r="E30" s="123" t="n">
        <x:f>IF(Data!$P30="High",IF(Data!E30="","",Data!E30),"")</x:f>
        <x:v>46167</x:v>
      </x:c>
      <x:c r="F30" s="123" t="n">
        <x:f>IF(Data!$P30="High",IF(Data!F30="","",Data!F30),"")</x:f>
        <x:v>46197</x:v>
      </x:c>
      <x:c r="G30" s="124" t="n">
        <x:f>IF(Data!$P30="High",IF(Data!G30="","",Data!G30),"")</x:f>
        <x:v>9491.86</x:v>
      </x:c>
      <x:c r="H30" s="124" t="n">
        <x:f>IF(Data!$P30="High",IF(Data!H30="","",Data!H30),"")</x:f>
        <x:v>1233.94</x:v>
      </x:c>
      <x:c r="I30" s="124" t="n">
        <x:f>IF(Data!$P30="High",IF(Data!I30="","",Data!I30),"")</x:f>
        <x:v>10725.800000000001</x:v>
      </x:c>
      <x:c r="J30" t="str">
        <x:f>IF(Data!$P30="High",IF(Data!J30="","",Data!J30),"")</x:f>
        <x:v>Paid</x:v>
      </x:c>
      <x:c r="K30" t="str">
        <x:f>IF(Data!$P30="High",IF(Data!K30="","",Data!K30),"")</x:f>
        <x:v>Approved</x:v>
      </x:c>
      <x:c r="L30" t="str">
        <x:f>IF(Data!$P30="High",IF(Data!L30="","",Data!L30),"")</x:f>
        <x:v>OK</x:v>
      </x:c>
      <x:c r="M30" t="str">
        <x:f>IF(Data!$P30="High",IF(Data!M30="","",Data!M30),"")</x:f>
        <x:v>Missing PO</x:v>
      </x:c>
      <x:c r="N30" t="str">
        <x:f>IF(Data!$P30="High",IF(Data!N30="","",Data!N30),"")</x:f>
        <x:v>OK</x:v>
      </x:c>
      <x:c r="O30" s="100" t="n">
        <x:f>IF(Data!$P30="High",Data!O30,"")</x:f>
        <x:v>0</x:v>
      </x:c>
      <x:c r="P30" t="str">
        <x:f>IF(Data!$P30="High",IF(Data!P30="","",Data!P30),"")</x:f>
        <x:v>High</x:v>
      </x:c>
      <x:c r="Q30" t="str">
        <x:f>IF(Data!$P30="High",IF(Data!Q30="","",Data!Q30),"")</x:f>
        <x:v>Missing PO</x:v>
      </x:c>
    </x:row>
    <x:row r="31">
      <x:c r="A31" t="str">
        <x:f>IF(Data!$P31="High",IF(Data!A31="","",Data!A31),"")</x:f>
        <x:v>AP-0030</x:v>
      </x:c>
      <x:c r="B31" t="str">
        <x:f>IF(Data!$P31="High",IF(Data!B31="","",Data!B31),"")</x:f>
        <x:v>Vendor 26</x:v>
      </x:c>
      <x:c r="C31" t="str">
        <x:f>IF(Data!$P31="High",IF(Data!C31="","",Data!C31),"")</x:f>
        <x:v>INV-25284</x:v>
      </x:c>
      <x:c r="D31" t="str">
        <x:f>IF(Data!$P31="High",IF(Data!D31="","",Data!D31),"")</x:f>
        <x:v>PO-1054</x:v>
      </x:c>
      <x:c r="E31" s="123" t="n">
        <x:f>IF(Data!$P31="High",IF(Data!E31="","",Data!E31),"")</x:f>
        <x:v>46179</x:v>
      </x:c>
      <x:c r="F31" s="123" t="n">
        <x:f>IF(Data!$P31="High",IF(Data!F31="","",Data!F31),"")</x:f>
        <x:v>46194</x:v>
      </x:c>
      <x:c r="G31" s="124" t="n">
        <x:f>IF(Data!$P31="High",IF(Data!G31="","",Data!G31),"")</x:f>
        <x:v>4438.12</x:v>
      </x:c>
      <x:c r="H31" s="124" t="n">
        <x:f>IF(Data!$P31="High",IF(Data!H31="","",Data!H31),"")</x:f>
        <x:v>576.96</x:v>
      </x:c>
      <x:c r="I31" s="124" t="n">
        <x:f>IF(Data!$P31="High",IF(Data!I31="","",Data!I31),"")</x:f>
        <x:v>5015.08</x:v>
      </x:c>
      <x:c r="J31" t="str">
        <x:f>IF(Data!$P31="High",IF(Data!J31="","",Data!J31),"")</x:f>
        <x:v>Unpaid</x:v>
      </x:c>
      <x:c r="K31" t="str">
        <x:f>IF(Data!$P31="High",IF(Data!K31="","",Data!K31),"")</x:f>
        <x:v>Rejected</x:v>
      </x:c>
      <x:c r="L31" t="str">
        <x:f>IF(Data!$P31="High",IF(Data!L31="","",Data!L31),"")</x:f>
        <x:v>OK</x:v>
      </x:c>
      <x:c r="M31" t="str">
        <x:f>IF(Data!$P31="High",IF(Data!M31="","",Data!M31),"")</x:f>
        <x:v>Matched</x:v>
      </x:c>
      <x:c r="N31" t="str">
        <x:f>IF(Data!$P31="High",IF(Data!N31="","",Data!N31),"")</x:f>
        <x:v>OK</x:v>
      </x:c>
      <x:c r="O31" s="100" t="n">
        <x:f>IF(Data!$P31="High",Data!O31,"")</x:f>
        <x:v>38</x:v>
      </x:c>
      <x:c r="P31" t="str">
        <x:f>IF(Data!$P31="High",IF(Data!P31="","",Data!P31),"")</x:f>
        <x:v>High</x:v>
      </x:c>
      <x:c r="Q31" t="str">
        <x:f>IF(Data!$P31="High",IF(Data!Q31="","",Data!Q31),"")</x:f>
        <x:v>Overdue; Approval issue</x:v>
      </x:c>
    </x:row>
    <x:row r="32">
      <x:c r="A32" t="str">
        <x:f>IF(Data!$P32="High",IF(Data!A32="","",Data!A32),"")</x:f>
        <x:v>AP-0031</x:v>
      </x:c>
      <x:c r="B32" t="str">
        <x:f>IF(Data!$P32="High",IF(Data!B32="","",Data!B32),"")</x:f>
        <x:v>Vendor 28</x:v>
      </x:c>
      <x:c r="C32" t="str">
        <x:f>IF(Data!$P32="High",IF(Data!C32="","",Data!C32),"")</x:f>
        <x:v>INV-41375</x:v>
      </x:c>
      <x:c r="D32" t="str">
        <x:f>IF(Data!$P32="High",IF(Data!D32="","",Data!D32),"")</x:f>
        <x:v>PO-1094</x:v>
      </x:c>
      <x:c r="E32" s="123" t="n">
        <x:f>IF(Data!$P32="High",IF(Data!E32="","",Data!E32),"")</x:f>
        <x:v>46198</x:v>
      </x:c>
      <x:c r="F32" s="123" t="n">
        <x:f>IF(Data!$P32="High",IF(Data!F32="","",Data!F32),"")</x:f>
        <x:v>46243</x:v>
      </x:c>
      <x:c r="G32" s="124" t="n">
        <x:f>IF(Data!$P32="High",IF(Data!G32="","",Data!G32),"")</x:f>
        <x:v>9505.12</x:v>
      </x:c>
      <x:c r="H32" s="124" t="n">
        <x:f>IF(Data!$P32="High",IF(Data!H32="","",Data!H32),"")</x:f>
        <x:v>1235.67</x:v>
      </x:c>
      <x:c r="I32" s="124" t="n">
        <x:f>IF(Data!$P32="High",IF(Data!I32="","",Data!I32),"")</x:f>
        <x:v>10740.79</x:v>
      </x:c>
      <x:c r="J32" t="str">
        <x:f>IF(Data!$P32="High",IF(Data!J32="","",Data!J32),"")</x:f>
        <x:v>Paid</x:v>
      </x:c>
      <x:c r="K32" t="str">
        <x:f>IF(Data!$P32="High",IF(Data!K32="","",Data!K32),"")</x:f>
        <x:v>Pending</x:v>
      </x:c>
      <x:c r="L32" t="str">
        <x:f>IF(Data!$P32="High",IF(Data!L32="","",Data!L32),"")</x:f>
        <x:v>Duplicate Risk</x:v>
      </x:c>
      <x:c r="M32" t="str">
        <x:f>IF(Data!$P32="High",IF(Data!M32="","",Data!M32),"")</x:f>
        <x:v>Matched</x:v>
      </x:c>
      <x:c r="N32" t="str">
        <x:f>IF(Data!$P32="High",IF(Data!N32="","",Data!N32),"")</x:f>
        <x:v>OK</x:v>
      </x:c>
      <x:c r="O32" s="100" t="n">
        <x:f>IF(Data!$P32="High",Data!O32,"")</x:f>
        <x:v>0</x:v>
      </x:c>
      <x:c r="P32" t="str">
        <x:f>IF(Data!$P32="High",IF(Data!P32="","",Data!P32),"")</x:f>
        <x:v>High</x:v>
      </x:c>
      <x:c r="Q32" t="str">
        <x:f>IF(Data!$P32="High",IF(Data!Q32="","",Data!Q32),"")</x:f>
        <x:v>Duplicate risk; Approval issue</x:v>
      </x:c>
    </x:row>
    <x:row r="33">
      <x:c r="A33" t="str">
        <x:f>IF(Data!$P33="High",IF(Data!A33="","",Data!A33),"")</x:f>
        <x:v>AP-0032</x:v>
      </x:c>
      <x:c r="B33" t="str">
        <x:f>IF(Data!$P33="High",IF(Data!B33="","",Data!B33),"")</x:f>
        <x:v>Vendor 4</x:v>
      </x:c>
      <x:c r="C33" t="str">
        <x:f>IF(Data!$P33="High",IF(Data!C33="","",Data!C33),"")</x:f>
        <x:v>INV-47334</x:v>
      </x:c>
      <x:c r="D33" t="str">
        <x:f>IF(Data!$P33="High",IF(Data!D33="","",Data!D33),"")</x:f>
      </x:c>
      <x:c r="E33" s="123" t="n">
        <x:f>IF(Data!$P33="High",IF(Data!E33="","",Data!E33),"")</x:f>
        <x:v>46151</x:v>
      </x:c>
      <x:c r="F33" s="123" t="n">
        <x:f>IF(Data!$P33="High",IF(Data!F33="","",Data!F33),"")</x:f>
        <x:v>46196</x:v>
      </x:c>
      <x:c r="G33" s="124" t="n">
        <x:f>IF(Data!$P33="High",IF(Data!G33="","",Data!G33),"")</x:f>
        <x:v>5344.77</x:v>
      </x:c>
      <x:c r="H33" s="124" t="n">
        <x:f>IF(Data!$P33="High",IF(Data!H33="","",Data!H33),"")</x:f>
        <x:v>690.08</x:v>
      </x:c>
      <x:c r="I33" s="124" t="n">
        <x:f>IF(Data!$P33="High",IF(Data!I33="","",Data!I33),"")</x:f>
        <x:v>6034.85</x:v>
      </x:c>
      <x:c r="J33" t="str">
        <x:f>IF(Data!$P33="High",IF(Data!J33="","",Data!J33),"")</x:f>
        <x:v>Unpaid</x:v>
      </x:c>
      <x:c r="K33" t="str">
        <x:f>IF(Data!$P33="High",IF(Data!K33="","",Data!K33),"")</x:f>
        <x:v>Approved</x:v>
      </x:c>
      <x:c r="L33" t="str">
        <x:f>IF(Data!$P33="High",IF(Data!L33="","",Data!L33),"")</x:f>
        <x:v>OK</x:v>
      </x:c>
      <x:c r="M33" t="str">
        <x:f>IF(Data!$P33="High",IF(Data!M33="","",Data!M33),"")</x:f>
        <x:v>Missing PO</x:v>
      </x:c>
      <x:c r="N33" t="str">
        <x:f>IF(Data!$P33="High",IF(Data!N33="","",Data!N33),"")</x:f>
        <x:v>Review Tax</x:v>
      </x:c>
      <x:c r="O33" s="100" t="n">
        <x:f>IF(Data!$P33="High",Data!O33,"")</x:f>
        <x:v>36</x:v>
      </x:c>
      <x:c r="P33" t="str">
        <x:f>IF(Data!$P33="High",IF(Data!P33="","",Data!P33),"")</x:f>
        <x:v>High</x:v>
      </x:c>
      <x:c r="Q33" t="str">
        <x:f>IF(Data!$P33="High",IF(Data!Q33="","",Data!Q33),"")</x:f>
        <x:v>Missing PO; Tax variance; Overdue</x:v>
      </x:c>
    </x:row>
    <x:row r="34">
      <x:c r="A34" t="str">
        <x:f>IF(Data!$P34="High",IF(Data!A34="","",Data!A34),"")</x:f>
        <x:v>AP-0033</x:v>
      </x:c>
      <x:c r="B34" t="str">
        <x:f>IF(Data!$P34="High",IF(Data!B34="","",Data!B34),"")</x:f>
        <x:v>Vendor 13</x:v>
      </x:c>
      <x:c r="C34" t="str">
        <x:f>IF(Data!$P34="High",IF(Data!C34="","",Data!C34),"")</x:f>
        <x:v>INV-37775</x:v>
      </x:c>
      <x:c r="D34" t="str">
        <x:f>IF(Data!$P34="High",IF(Data!D34="","",Data!D34),"")</x:f>
        <x:v>PO-1069</x:v>
      </x:c>
      <x:c r="E34" s="123" t="n">
        <x:f>IF(Data!$P34="High",IF(Data!E34="","",Data!E34),"")</x:f>
        <x:v>46165</x:v>
      </x:c>
      <x:c r="F34" s="123" t="n">
        <x:f>IF(Data!$P34="High",IF(Data!F34="","",Data!F34),"")</x:f>
        <x:v>46195</x:v>
      </x:c>
      <x:c r="G34" s="124" t="n">
        <x:f>IF(Data!$P34="High",IF(Data!G34="","",Data!G34),"")</x:f>
        <x:v>1003.32</x:v>
      </x:c>
      <x:c r="H34" s="124" t="n">
        <x:f>IF(Data!$P34="High",IF(Data!H34="","",Data!H34),"")</x:f>
        <x:v>135.98</x:v>
      </x:c>
      <x:c r="I34" s="124" t="n">
        <x:f>IF(Data!$P34="High",IF(Data!I34="","",Data!I34),"")</x:f>
        <x:v>1139.3</x:v>
      </x:c>
      <x:c r="J34" t="str">
        <x:f>IF(Data!$P34="High",IF(Data!J34="","",Data!J34),"")</x:f>
        <x:v>On Hold</x:v>
      </x:c>
      <x:c r="K34" t="str">
        <x:f>IF(Data!$P34="High",IF(Data!K34="","",Data!K34),"")</x:f>
        <x:v>Approved</x:v>
      </x:c>
      <x:c r="L34" t="str">
        <x:f>IF(Data!$P34="High",IF(Data!L34="","",Data!L34),"")</x:f>
        <x:v>OK</x:v>
      </x:c>
      <x:c r="M34" t="str">
        <x:f>IF(Data!$P34="High",IF(Data!M34="","",Data!M34),"")</x:f>
        <x:v>Matched</x:v>
      </x:c>
      <x:c r="N34" t="str">
        <x:f>IF(Data!$P34="High",IF(Data!N34="","",Data!N34),"")</x:f>
        <x:v>Review Tax</x:v>
      </x:c>
      <x:c r="O34" s="100" t="n">
        <x:f>IF(Data!$P34="High",Data!O34,"")</x:f>
        <x:v>37</x:v>
      </x:c>
      <x:c r="P34" t="str">
        <x:f>IF(Data!$P34="High",IF(Data!P34="","",Data!P34),"")</x:f>
        <x:v>High</x:v>
      </x:c>
      <x:c r="Q34" t="str">
        <x:f>IF(Data!$P34="High",IF(Data!Q34="","",Data!Q34),"")</x:f>
        <x:v>Tax variance; Overdue</x:v>
      </x:c>
    </x:row>
    <x:row r="35">
      <x:c r="A35" t="str">
        <x:f>IF(Data!$P35="High",IF(Data!A35="","",Data!A35),"")</x:f>
        <x:v>AP-0034</x:v>
      </x:c>
      <x:c r="B35" t="str">
        <x:f>IF(Data!$P35="High",IF(Data!B35="","",Data!B35),"")</x:f>
        <x:v>Vendor 20</x:v>
      </x:c>
      <x:c r="C35" t="str">
        <x:f>IF(Data!$P35="High",IF(Data!C35="","",Data!C35),"")</x:f>
        <x:v>INV-42930</x:v>
      </x:c>
      <x:c r="D35" t="str">
        <x:f>IF(Data!$P35="High",IF(Data!D35="","",Data!D35),"")</x:f>
        <x:v>PO-1096</x:v>
      </x:c>
      <x:c r="E35" s="123" t="n">
        <x:f>IF(Data!$P35="High",IF(Data!E35="","",Data!E35),"")</x:f>
        <x:v>46165</x:v>
      </x:c>
      <x:c r="F35" s="123" t="n">
        <x:f>IF(Data!$P35="High",IF(Data!F35="","",Data!F35),"")</x:f>
        <x:v>46195</x:v>
      </x:c>
      <x:c r="G35" s="124" t="n">
        <x:f>IF(Data!$P35="High",IF(Data!G35="","",Data!G35),"")</x:f>
        <x:v>11662.46</x:v>
      </x:c>
      <x:c r="H35" s="124" t="n">
        <x:f>IF(Data!$P35="High",IF(Data!H35="","",Data!H35),"")</x:f>
        <x:v>1523.38</x:v>
      </x:c>
      <x:c r="I35" s="124" t="n">
        <x:f>IF(Data!$P35="High",IF(Data!I35="","",Data!I35),"")</x:f>
        <x:v>13185.84</x:v>
      </x:c>
      <x:c r="J35" t="str">
        <x:f>IF(Data!$P35="High",IF(Data!J35="","",Data!J35),"")</x:f>
        <x:v>Paid</x:v>
      </x:c>
      <x:c r="K35" t="str">
        <x:f>IF(Data!$P35="High",IF(Data!K35="","",Data!K35),"")</x:f>
        <x:v>Approved</x:v>
      </x:c>
      <x:c r="L35" t="str">
        <x:f>IF(Data!$P35="High",IF(Data!L35="","",Data!L35),"")</x:f>
        <x:v>OK</x:v>
      </x:c>
      <x:c r="M35" t="str">
        <x:f>IF(Data!$P35="High",IF(Data!M35="","",Data!M35),"")</x:f>
        <x:v>Matched</x:v>
      </x:c>
      <x:c r="N35" t="str">
        <x:f>IF(Data!$P35="High",IF(Data!N35="","",Data!N35),"")</x:f>
        <x:v>Review Tax</x:v>
      </x:c>
      <x:c r="O35" s="100" t="n">
        <x:f>IF(Data!$P35="High",Data!O35,"")</x:f>
        <x:v>0</x:v>
      </x:c>
      <x:c r="P35" t="str">
        <x:f>IF(Data!$P35="High",IF(Data!P35="","",Data!P35),"")</x:f>
        <x:v>High</x:v>
      </x:c>
      <x:c r="Q35" t="str">
        <x:f>IF(Data!$P35="High",IF(Data!Q35="","",Data!Q35),"")</x:f>
        <x:v>Tax variance</x:v>
      </x:c>
    </x:row>
    <x:row r="36">
      <x:c r="A36" t="str">
        <x:f>IF(Data!$P36="High",IF(Data!A36="","",Data!A36),"")</x:f>
        <x:v>AP-0035</x:v>
      </x:c>
      <x:c r="B36" t="str">
        <x:f>IF(Data!$P36="High",IF(Data!B36="","",Data!B36),"")</x:f>
        <x:v>Vendor 10</x:v>
      </x:c>
      <x:c r="C36" t="str">
        <x:f>IF(Data!$P36="High",IF(Data!C36="","",Data!C36),"")</x:f>
        <x:v>INV-22261</x:v>
      </x:c>
      <x:c r="D36" t="str">
        <x:f>IF(Data!$P36="High",IF(Data!D36="","",Data!D36),"")</x:f>
      </x:c>
      <x:c r="E36" s="123" t="n">
        <x:f>IF(Data!$P36="High",IF(Data!E36="","",Data!E36),"")</x:f>
        <x:v>46192</x:v>
      </x:c>
      <x:c r="F36" s="123" t="n">
        <x:f>IF(Data!$P36="High",IF(Data!F36="","",Data!F36),"")</x:f>
        <x:v>46222</x:v>
      </x:c>
      <x:c r="G36" s="124" t="n">
        <x:f>IF(Data!$P36="High",IF(Data!G36="","",Data!G36),"")</x:f>
        <x:v>1152.66</x:v>
      </x:c>
      <x:c r="H36" s="124" t="n">
        <x:f>IF(Data!$P36="High",IF(Data!H36="","",Data!H36),"")</x:f>
        <x:v>149.85</x:v>
      </x:c>
      <x:c r="I36" s="124" t="n">
        <x:f>IF(Data!$P36="High",IF(Data!I36="","",Data!I36),"")</x:f>
        <x:v>1302.51</x:v>
      </x:c>
      <x:c r="J36" t="str">
        <x:f>IF(Data!$P36="High",IF(Data!J36="","",Data!J36),"")</x:f>
        <x:v>On Hold</x:v>
      </x:c>
      <x:c r="K36" t="str">
        <x:f>IF(Data!$P36="High",IF(Data!K36="","",Data!K36),"")</x:f>
        <x:v>Rejected</x:v>
      </x:c>
      <x:c r="L36" t="str">
        <x:f>IF(Data!$P36="High",IF(Data!L36="","",Data!L36),"")</x:f>
        <x:v>OK</x:v>
      </x:c>
      <x:c r="M36" t="str">
        <x:f>IF(Data!$P36="High",IF(Data!M36="","",Data!M36),"")</x:f>
        <x:v>Missing PO</x:v>
      </x:c>
      <x:c r="N36" t="str">
        <x:f>IF(Data!$P36="High",IF(Data!N36="","",Data!N36),"")</x:f>
        <x:v>OK</x:v>
      </x:c>
      <x:c r="O36" s="100" t="n">
        <x:f>IF(Data!$P36="High",Data!O36,"")</x:f>
        <x:v>10</x:v>
      </x:c>
      <x:c r="P36" t="str">
        <x:f>IF(Data!$P36="High",IF(Data!P36="","",Data!P36),"")</x:f>
        <x:v>High</x:v>
      </x:c>
      <x:c r="Q36" t="str">
        <x:f>IF(Data!$P36="High",IF(Data!Q36="","",Data!Q36),"")</x:f>
        <x:v>Missing PO; Overdue; Approval issue</x:v>
      </x:c>
    </x:row>
    <x:row r="37">
      <x:c r="A37" t="str">
        <x:f>IF(Data!$P37="High",IF(Data!A37="","",Data!A37),"")</x:f>
        <x:v>AP-0036</x:v>
      </x:c>
      <x:c r="B37" t="str">
        <x:f>IF(Data!$P37="High",IF(Data!B37="","",Data!B37),"")</x:f>
        <x:v>Vendor 22</x:v>
      </x:c>
      <x:c r="C37" t="str">
        <x:f>IF(Data!$P37="High",IF(Data!C37="","",Data!C37),"")</x:f>
        <x:v>INV-35415</x:v>
      </x:c>
      <x:c r="D37" t="str">
        <x:f>IF(Data!$P37="High",IF(Data!D37="","",Data!D37),"")</x:f>
      </x:c>
      <x:c r="E37" s="123" t="n">
        <x:f>IF(Data!$P37="High",IF(Data!E37="","",Data!E37),"")</x:f>
        <x:v>46176</x:v>
      </x:c>
      <x:c r="F37" s="123" t="n">
        <x:f>IF(Data!$P37="High",IF(Data!F37="","",Data!F37),"")</x:f>
        <x:v>46221</x:v>
      </x:c>
      <x:c r="G37" s="124" t="n">
        <x:f>IF(Data!$P37="High",IF(Data!G37="","",Data!G37),"")</x:f>
        <x:v>757.1</x:v>
      </x:c>
      <x:c r="H37" s="124" t="n">
        <x:f>IF(Data!$P37="High",IF(Data!H37="","",Data!H37),"")</x:f>
        <x:v>98.42</x:v>
      </x:c>
      <x:c r="I37" s="124" t="n">
        <x:f>IF(Data!$P37="High",IF(Data!I37="","",Data!I37),"")</x:f>
        <x:v>855.52</x:v>
      </x:c>
      <x:c r="J37" t="str">
        <x:f>IF(Data!$P37="High",IF(Data!J37="","",Data!J37),"")</x:f>
        <x:v>Paid</x:v>
      </x:c>
      <x:c r="K37" t="str">
        <x:f>IF(Data!$P37="High",IF(Data!K37="","",Data!K37),"")</x:f>
        <x:v>Rejected</x:v>
      </x:c>
      <x:c r="L37" t="str">
        <x:f>IF(Data!$P37="High",IF(Data!L37="","",Data!L37),"")</x:f>
        <x:v>OK</x:v>
      </x:c>
      <x:c r="M37" t="str">
        <x:f>IF(Data!$P37="High",IF(Data!M37="","",Data!M37),"")</x:f>
        <x:v>Missing PO</x:v>
      </x:c>
      <x:c r="N37" t="str">
        <x:f>IF(Data!$P37="High",IF(Data!N37="","",Data!N37),"")</x:f>
        <x:v>OK</x:v>
      </x:c>
      <x:c r="O37" s="100" t="n">
        <x:f>IF(Data!$P37="High",Data!O37,"")</x:f>
        <x:v>0</x:v>
      </x:c>
      <x:c r="P37" t="str">
        <x:f>IF(Data!$P37="High",IF(Data!P37="","",Data!P37),"")</x:f>
        <x:v>High</x:v>
      </x:c>
      <x:c r="Q37" t="str">
        <x:f>IF(Data!$P37="High",IF(Data!Q37="","",Data!Q37),"")</x:f>
        <x:v>Missing PO; Approval issue</x:v>
      </x:c>
    </x:row>
    <x:row r="38">
      <x:c r="A38" t="str">
        <x:f>IF(Data!$P38="High",IF(Data!A38="","",Data!A38),"")</x:f>
        <x:v>AP-0037</x:v>
      </x:c>
      <x:c r="B38" t="str">
        <x:f>IF(Data!$P38="High",IF(Data!B38="","",Data!B38),"")</x:f>
        <x:v>Vendor 15</x:v>
      </x:c>
      <x:c r="C38" t="str">
        <x:f>IF(Data!$P38="High",IF(Data!C38="","",Data!C38),"")</x:f>
        <x:v>INV-44053</x:v>
      </x:c>
      <x:c r="D38" t="str">
        <x:f>IF(Data!$P38="High",IF(Data!D38="","",Data!D38),"")</x:f>
        <x:v>PO-1100</x:v>
      </x:c>
      <x:c r="E38" s="123" t="n">
        <x:f>IF(Data!$P38="High",IF(Data!E38="","",Data!E38),"")</x:f>
        <x:v>46190</x:v>
      </x:c>
      <x:c r="F38" s="123" t="n">
        <x:f>IF(Data!$P38="High",IF(Data!F38="","",Data!F38),"")</x:f>
        <x:v>46205</x:v>
      </x:c>
      <x:c r="G38" s="124" t="n">
        <x:f>IF(Data!$P38="High",IF(Data!G38="","",Data!G38),"")</x:f>
        <x:v>6895.28</x:v>
      </x:c>
      <x:c r="H38" s="124" t="n">
        <x:f>IF(Data!$P38="High",IF(Data!H38="","",Data!H38),"")</x:f>
        <x:v>893.3</x:v>
      </x:c>
      <x:c r="I38" s="124" t="n">
        <x:f>IF(Data!$P38="High",IF(Data!I38="","",Data!I38),"")</x:f>
        <x:v>7788.58</x:v>
      </x:c>
      <x:c r="J38" t="str">
        <x:f>IF(Data!$P38="High",IF(Data!J38="","",Data!J38),"")</x:f>
        <x:v>Paid</x:v>
      </x:c>
      <x:c r="K38" t="str">
        <x:f>IF(Data!$P38="High",IF(Data!K38="","",Data!K38),"")</x:f>
        <x:v>Pending</x:v>
      </x:c>
      <x:c r="L38" t="str">
        <x:f>IF(Data!$P38="High",IF(Data!L38="","",Data!L38),"")</x:f>
        <x:v>Duplicate Risk</x:v>
      </x:c>
      <x:c r="M38" t="str">
        <x:f>IF(Data!$P38="High",IF(Data!M38="","",Data!M38),"")</x:f>
        <x:v>Matched</x:v>
      </x:c>
      <x:c r="N38" t="str">
        <x:f>IF(Data!$P38="High",IF(Data!N38="","",Data!N38),"")</x:f>
        <x:v>Review Tax</x:v>
      </x:c>
      <x:c r="O38" s="100" t="n">
        <x:f>IF(Data!$P38="High",Data!O38,"")</x:f>
        <x:v>0</x:v>
      </x:c>
      <x:c r="P38" t="str">
        <x:f>IF(Data!$P38="High",IF(Data!P38="","",Data!P38),"")</x:f>
        <x:v>High</x:v>
      </x:c>
      <x:c r="Q38" t="str">
        <x:f>IF(Data!$P38="High",IF(Data!Q38="","",Data!Q38),"")</x:f>
        <x:v>Duplicate risk; Tax variance; Approval issue</x:v>
      </x:c>
    </x:row>
    <x:row r="39">
      <x:c r="A39" t="str">
        <x:f>IF(Data!$P39="High",IF(Data!A39="","",Data!A39),"")</x:f>
        <x:v>AP-0038</x:v>
      </x:c>
      <x:c r="B39" t="str">
        <x:f>IF(Data!$P39="High",IF(Data!B39="","",Data!B39),"")</x:f>
        <x:v>Vendor 21</x:v>
      </x:c>
      <x:c r="C39" t="str">
        <x:f>IF(Data!$P39="High",IF(Data!C39="","",Data!C39),"")</x:f>
        <x:v>INV-32957</x:v>
      </x:c>
      <x:c r="D39" t="str">
        <x:f>IF(Data!$P39="High",IF(Data!D39="","",Data!D39),"")</x:f>
      </x:c>
      <x:c r="E39" s="123" t="n">
        <x:f>IF(Data!$P39="High",IF(Data!E39="","",Data!E39),"")</x:f>
        <x:v>46167</x:v>
      </x:c>
      <x:c r="F39" s="123" t="n">
        <x:f>IF(Data!$P39="High",IF(Data!F39="","",Data!F39),"")</x:f>
        <x:v>46182</x:v>
      </x:c>
      <x:c r="G39" s="124" t="n">
        <x:f>IF(Data!$P39="High",IF(Data!G39="","",Data!G39),"")</x:f>
        <x:v>1514.53</x:v>
      </x:c>
      <x:c r="H39" s="124" t="n">
        <x:f>IF(Data!$P39="High",IF(Data!H39="","",Data!H39),"")</x:f>
        <x:v>194.98</x:v>
      </x:c>
      <x:c r="I39" s="124" t="n">
        <x:f>IF(Data!$P39="High",IF(Data!I39="","",Data!I39),"")</x:f>
        <x:v>1709.51</x:v>
      </x:c>
      <x:c r="J39" t="str">
        <x:f>IF(Data!$P39="High",IF(Data!J39="","",Data!J39),"")</x:f>
        <x:v>Paid</x:v>
      </x:c>
      <x:c r="K39" t="str">
        <x:f>IF(Data!$P39="High",IF(Data!K39="","",Data!K39),"")</x:f>
        <x:v>Approved</x:v>
      </x:c>
      <x:c r="L39" t="str">
        <x:f>IF(Data!$P39="High",IF(Data!L39="","",Data!L39),"")</x:f>
        <x:v>OK</x:v>
      </x:c>
      <x:c r="M39" t="str">
        <x:f>IF(Data!$P39="High",IF(Data!M39="","",Data!M39),"")</x:f>
        <x:v>Missing PO</x:v>
      </x:c>
      <x:c r="N39" t="str">
        <x:f>IF(Data!$P39="High",IF(Data!N39="","",Data!N39),"")</x:f>
        <x:v>Review Tax</x:v>
      </x:c>
      <x:c r="O39" s="100" t="n">
        <x:f>IF(Data!$P39="High",Data!O39,"")</x:f>
        <x:v>0</x:v>
      </x:c>
      <x:c r="P39" t="str">
        <x:f>IF(Data!$P39="High",IF(Data!P39="","",Data!P39),"")</x:f>
        <x:v>High</x:v>
      </x:c>
      <x:c r="Q39" t="str">
        <x:f>IF(Data!$P39="High",IF(Data!Q39="","",Data!Q39),"")</x:f>
        <x:v>Missing PO; Tax variance</x:v>
      </x:c>
    </x:row>
    <x:row r="40">
      <x:c r="A40" t="str">
        <x:f>IF(Data!$P40="High",IF(Data!A40="","",Data!A40),"")</x:f>
        <x:v>AP-0039</x:v>
      </x:c>
      <x:c r="B40" t="str">
        <x:f>IF(Data!$P40="High",IF(Data!B40="","",Data!B40),"")</x:f>
        <x:v>Vendor 27</x:v>
      </x:c>
      <x:c r="C40" t="str">
        <x:f>IF(Data!$P40="High",IF(Data!C40="","",Data!C40),"")</x:f>
        <x:v>INV-37253</x:v>
      </x:c>
      <x:c r="D40" t="str">
        <x:f>IF(Data!$P40="High",IF(Data!D40="","",Data!D40),"")</x:f>
        <x:v>PO-1054</x:v>
      </x:c>
      <x:c r="E40" s="123" t="n">
        <x:f>IF(Data!$P40="High",IF(Data!E40="","",Data!E40),"")</x:f>
        <x:v>46162</x:v>
      </x:c>
      <x:c r="F40" s="123" t="n">
        <x:f>IF(Data!$P40="High",IF(Data!F40="","",Data!F40),"")</x:f>
        <x:v>46177</x:v>
      </x:c>
      <x:c r="G40" s="124" t="n">
        <x:f>IF(Data!$P40="High",IF(Data!G40="","",Data!G40),"")</x:f>
        <x:v>10848.86</x:v>
      </x:c>
      <x:c r="H40" s="124" t="n">
        <x:f>IF(Data!$P40="High",IF(Data!H40="","",Data!H40),"")</x:f>
        <x:v>1410.35</x:v>
      </x:c>
      <x:c r="I40" s="124" t="n">
        <x:f>IF(Data!$P40="High",IF(Data!I40="","",Data!I40),"")</x:f>
        <x:v>12259.210000000001</x:v>
      </x:c>
      <x:c r="J40" t="str">
        <x:f>IF(Data!$P40="High",IF(Data!J40="","",Data!J40),"")</x:f>
        <x:v>On Hold</x:v>
      </x:c>
      <x:c r="K40" t="str">
        <x:f>IF(Data!$P40="High",IF(Data!K40="","",Data!K40),"")</x:f>
        <x:v>Rejected</x:v>
      </x:c>
      <x:c r="L40" t="str">
        <x:f>IF(Data!$P40="High",IF(Data!L40="","",Data!L40),"")</x:f>
        <x:v>OK</x:v>
      </x:c>
      <x:c r="M40" t="str">
        <x:f>IF(Data!$P40="High",IF(Data!M40="","",Data!M40),"")</x:f>
        <x:v>Matched</x:v>
      </x:c>
      <x:c r="N40" t="str">
        <x:f>IF(Data!$P40="High",IF(Data!N40="","",Data!N40),"")</x:f>
        <x:v>OK</x:v>
      </x:c>
      <x:c r="O40" s="100" t="n">
        <x:f>IF(Data!$P40="High",Data!O40,"")</x:f>
        <x:v>55</x:v>
      </x:c>
      <x:c r="P40" t="str">
        <x:f>IF(Data!$P40="High",IF(Data!P40="","",Data!P40),"")</x:f>
        <x:v>High</x:v>
      </x:c>
      <x:c r="Q40" t="str">
        <x:f>IF(Data!$P40="High",IF(Data!Q40="","",Data!Q40),"")</x:f>
        <x:v>Overdue; Approval issue</x:v>
      </x:c>
    </x:row>
    <x:row r="41">
      <x:c r="A41" t="str">
        <x:f>IF(Data!$P41="High",IF(Data!A41="","",Data!A41),"")</x:f>
        <x:v>AP-0040</x:v>
      </x:c>
      <x:c r="B41" t="str">
        <x:f>IF(Data!$P41="High",IF(Data!B41="","",Data!B41),"")</x:f>
        <x:v>Vendor 23</x:v>
      </x:c>
      <x:c r="C41" t="str">
        <x:f>IF(Data!$P41="High",IF(Data!C41="","",Data!C41),"")</x:f>
        <x:v>INV-25269</x:v>
      </x:c>
      <x:c r="D41" t="str">
        <x:f>IF(Data!$P41="High",IF(Data!D41="","",Data!D41),"")</x:f>
        <x:v>PO-1055</x:v>
      </x:c>
      <x:c r="E41" s="123" t="n">
        <x:f>IF(Data!$P41="High",IF(Data!E41="","",Data!E41),"")</x:f>
        <x:v>46190</x:v>
      </x:c>
      <x:c r="F41" s="123" t="n">
        <x:f>IF(Data!$P41="High",IF(Data!F41="","",Data!F41),"")</x:f>
        <x:v>46205</x:v>
      </x:c>
      <x:c r="G41" s="124" t="n">
        <x:f>IF(Data!$P41="High",IF(Data!G41="","",Data!G41),"")</x:f>
        <x:v>7713.57</x:v>
      </x:c>
      <x:c r="H41" s="124" t="n">
        <x:f>IF(Data!$P41="High",IF(Data!H41="","",Data!H41),"")</x:f>
        <x:v>998.88</x:v>
      </x:c>
      <x:c r="I41" s="124" t="n">
        <x:f>IF(Data!$P41="High",IF(Data!I41="","",Data!I41),"")</x:f>
        <x:v>8712.449999999999</x:v>
      </x:c>
      <x:c r="J41" t="str">
        <x:f>IF(Data!$P41="High",IF(Data!J41="","",Data!J41),"")</x:f>
        <x:v>Paid</x:v>
      </x:c>
      <x:c r="K41" t="str">
        <x:f>IF(Data!$P41="High",IF(Data!K41="","",Data!K41),"")</x:f>
        <x:v>Approved</x:v>
      </x:c>
      <x:c r="L41" t="str">
        <x:f>IF(Data!$P41="High",IF(Data!L41="","",Data!L41),"")</x:f>
        <x:v>Duplicate Risk</x:v>
      </x:c>
      <x:c r="M41" t="str">
        <x:f>IF(Data!$P41="High",IF(Data!M41="","",Data!M41),"")</x:f>
        <x:v>Matched</x:v>
      </x:c>
      <x:c r="N41" t="str">
        <x:f>IF(Data!$P41="High",IF(Data!N41="","",Data!N41),"")</x:f>
        <x:v>Review Tax</x:v>
      </x:c>
      <x:c r="O41" s="100" t="n">
        <x:f>IF(Data!$P41="High",Data!O41,"")</x:f>
        <x:v>0</x:v>
      </x:c>
      <x:c r="P41" t="str">
        <x:f>IF(Data!$P41="High",IF(Data!P41="","",Data!P41),"")</x:f>
        <x:v>High</x:v>
      </x:c>
      <x:c r="Q41" t="str">
        <x:f>IF(Data!$P41="High",IF(Data!Q41="","",Data!Q41),"")</x:f>
        <x:v>Duplicate risk; Tax variance</x:v>
      </x:c>
    </x:row>
    <x:row r="42">
      <x:c r="A42" t="str">
        <x:f>IF(Data!$P42="High",IF(Data!A42="","",Data!A42),"")</x:f>
        <x:v>AP-0041</x:v>
      </x:c>
      <x:c r="B42" t="str">
        <x:f>IF(Data!$P42="High",IF(Data!B42="","",Data!B42),"")</x:f>
        <x:v>Vendor 21</x:v>
      </x:c>
      <x:c r="C42" t="str">
        <x:f>IF(Data!$P42="High",IF(Data!C42="","",Data!C42),"")</x:f>
        <x:v>INV-21350</x:v>
      </x:c>
      <x:c r="D42" t="str">
        <x:f>IF(Data!$P42="High",IF(Data!D42="","",Data!D42),"")</x:f>
      </x:c>
      <x:c r="E42" s="123" t="n">
        <x:f>IF(Data!$P42="High",IF(Data!E42="","",Data!E42),"")</x:f>
        <x:v>46191</x:v>
      </x:c>
      <x:c r="F42" s="123" t="n">
        <x:f>IF(Data!$P42="High",IF(Data!F42="","",Data!F42),"")</x:f>
        <x:v>46221</x:v>
      </x:c>
      <x:c r="G42" s="124" t="n">
        <x:f>IF(Data!$P42="High",IF(Data!G42="","",Data!G42),"")</x:f>
        <x:v>564.33</x:v>
      </x:c>
      <x:c r="H42" s="124" t="n">
        <x:f>IF(Data!$P42="High",IF(Data!H42="","",Data!H42),"")</x:f>
        <x:v>73.36</x:v>
      </x:c>
      <x:c r="I42" s="124" t="n">
        <x:f>IF(Data!$P42="High",IF(Data!I42="","",Data!I42),"")</x:f>
        <x:v>637.69</x:v>
      </x:c>
      <x:c r="J42" t="str">
        <x:f>IF(Data!$P42="High",IF(Data!J42="","",Data!J42),"")</x:f>
        <x:v>Unpaid</x:v>
      </x:c>
      <x:c r="K42" t="str">
        <x:f>IF(Data!$P42="High",IF(Data!K42="","",Data!K42),"")</x:f>
        <x:v>Pending</x:v>
      </x:c>
      <x:c r="L42" t="str">
        <x:f>IF(Data!$P42="High",IF(Data!L42="","",Data!L42),"")</x:f>
        <x:v>OK</x:v>
      </x:c>
      <x:c r="M42" t="str">
        <x:f>IF(Data!$P42="High",IF(Data!M42="","",Data!M42),"")</x:f>
        <x:v>Missing PO</x:v>
      </x:c>
      <x:c r="N42" t="str">
        <x:f>IF(Data!$P42="High",IF(Data!N42="","",Data!N42),"")</x:f>
        <x:v>OK</x:v>
      </x:c>
      <x:c r="O42" s="100" t="n">
        <x:f>IF(Data!$P42="High",Data!O42,"")</x:f>
        <x:v>11</x:v>
      </x:c>
      <x:c r="P42" t="str">
        <x:f>IF(Data!$P42="High",IF(Data!P42="","",Data!P42),"")</x:f>
        <x:v>High</x:v>
      </x:c>
      <x:c r="Q42" t="str">
        <x:f>IF(Data!$P42="High",IF(Data!Q42="","",Data!Q42),"")</x:f>
        <x:v>Missing PO; Overdue; Approval issue</x:v>
      </x:c>
    </x:row>
    <x:row r="43">
      <x:c r="A43" t="str">
        <x:f>IF(Data!$P43="High",IF(Data!A43="","",Data!A43),"")</x:f>
        <x:v>AP-0042</x:v>
      </x:c>
      <x:c r="B43" t="str">
        <x:f>IF(Data!$P43="High",IF(Data!B43="","",Data!B43),"")</x:f>
        <x:v>Vendor 15</x:v>
      </x:c>
      <x:c r="C43" t="str">
        <x:f>IF(Data!$P43="High",IF(Data!C43="","",Data!C43),"")</x:f>
        <x:v>INV-46101</x:v>
      </x:c>
      <x:c r="D43" t="str">
        <x:f>IF(Data!$P43="High",IF(Data!D43="","",Data!D43),"")</x:f>
      </x:c>
      <x:c r="E43" s="123" t="n">
        <x:f>IF(Data!$P43="High",IF(Data!E43="","",Data!E43),"")</x:f>
        <x:v>46161</x:v>
      </x:c>
      <x:c r="F43" s="123" t="n">
        <x:f>IF(Data!$P43="High",IF(Data!F43="","",Data!F43),"")</x:f>
        <x:v>46206</x:v>
      </x:c>
      <x:c r="G43" s="124" t="n">
        <x:f>IF(Data!$P43="High",IF(Data!G43="","",Data!G43),"")</x:f>
        <x:v>610.89</x:v>
      </x:c>
      <x:c r="H43" s="124" t="n">
        <x:f>IF(Data!$P43="High",IF(Data!H43="","",Data!H43),"")</x:f>
        <x:v>79.42</x:v>
      </x:c>
      <x:c r="I43" s="124" t="n">
        <x:f>IF(Data!$P43="High",IF(Data!I43="","",Data!I43),"")</x:f>
        <x:v>690.31</x:v>
      </x:c>
      <x:c r="J43" t="str">
        <x:f>IF(Data!$P43="High",IF(Data!J43="","",Data!J43),"")</x:f>
        <x:v>Unpaid</x:v>
      </x:c>
      <x:c r="K43" t="str">
        <x:f>IF(Data!$P43="High",IF(Data!K43="","",Data!K43),"")</x:f>
        <x:v>Rejected</x:v>
      </x:c>
      <x:c r="L43" t="str">
        <x:f>IF(Data!$P43="High",IF(Data!L43="","",Data!L43),"")</x:f>
        <x:v>OK</x:v>
      </x:c>
      <x:c r="M43" t="str">
        <x:f>IF(Data!$P43="High",IF(Data!M43="","",Data!M43),"")</x:f>
        <x:v>Missing PO</x:v>
      </x:c>
      <x:c r="N43" t="str">
        <x:f>IF(Data!$P43="High",IF(Data!N43="","",Data!N43),"")</x:f>
        <x:v>OK</x:v>
      </x:c>
      <x:c r="O43" s="100" t="n">
        <x:f>IF(Data!$P43="High",Data!O43,"")</x:f>
        <x:v>26</x:v>
      </x:c>
      <x:c r="P43" t="str">
        <x:f>IF(Data!$P43="High",IF(Data!P43="","",Data!P43),"")</x:f>
        <x:v>High</x:v>
      </x:c>
      <x:c r="Q43" t="str">
        <x:f>IF(Data!$P43="High",IF(Data!Q43="","",Data!Q43),"")</x:f>
        <x:v>Missing PO; Overdue; Approval issue</x:v>
      </x:c>
    </x:row>
    <x:row r="44">
      <x:c r="A44" t="str">
        <x:f>IF(Data!$P44="High",IF(Data!A44="","",Data!A44),"")</x:f>
        <x:v>AP-0043</x:v>
      </x:c>
      <x:c r="B44" t="str">
        <x:f>IF(Data!$P44="High",IF(Data!B44="","",Data!B44),"")</x:f>
        <x:v>Vendor 18</x:v>
      </x:c>
      <x:c r="C44" t="str">
        <x:f>IF(Data!$P44="High",IF(Data!C44="","",Data!C44),"")</x:f>
        <x:v>INV-23691</x:v>
      </x:c>
      <x:c r="D44" t="str">
        <x:f>IF(Data!$P44="High",IF(Data!D44="","",Data!D44),"")</x:f>
        <x:v>PO-1079</x:v>
      </x:c>
      <x:c r="E44" s="123" t="n">
        <x:f>IF(Data!$P44="High",IF(Data!E44="","",Data!E44),"")</x:f>
        <x:v>46170</x:v>
      </x:c>
      <x:c r="F44" s="123" t="n">
        <x:f>IF(Data!$P44="High",IF(Data!F44="","",Data!F44),"")</x:f>
        <x:v>46200</x:v>
      </x:c>
      <x:c r="G44" s="124" t="n">
        <x:f>IF(Data!$P44="High",IF(Data!G44="","",Data!G44),"")</x:f>
        <x:v>952.02</x:v>
      </x:c>
      <x:c r="H44" s="124" t="n">
        <x:f>IF(Data!$P44="High",IF(Data!H44="","",Data!H44),"")</x:f>
        <x:v>123.76</x:v>
      </x:c>
      <x:c r="I44" s="124" t="n">
        <x:f>IF(Data!$P44="High",IF(Data!I44="","",Data!I44),"")</x:f>
        <x:v>1075.78</x:v>
      </x:c>
      <x:c r="J44" t="str">
        <x:f>IF(Data!$P44="High",IF(Data!J44="","",Data!J44),"")</x:f>
        <x:v>Paid</x:v>
      </x:c>
      <x:c r="K44" t="str">
        <x:f>IF(Data!$P44="High",IF(Data!K44="","",Data!K44),"")</x:f>
        <x:v>Pending</x:v>
      </x:c>
      <x:c r="L44" t="str">
        <x:f>IF(Data!$P44="High",IF(Data!L44="","",Data!L44),"")</x:f>
        <x:v>OK</x:v>
      </x:c>
      <x:c r="M44" t="str">
        <x:f>IF(Data!$P44="High",IF(Data!M44="","",Data!M44),"")</x:f>
        <x:v>Matched</x:v>
      </x:c>
      <x:c r="N44" t="str">
        <x:f>IF(Data!$P44="High",IF(Data!N44="","",Data!N44),"")</x:f>
        <x:v>OK</x:v>
      </x:c>
      <x:c r="O44" s="100" t="n">
        <x:f>IF(Data!$P44="High",Data!O44,"")</x:f>
        <x:v>0</x:v>
      </x:c>
      <x:c r="P44" t="str">
        <x:f>IF(Data!$P44="High",IF(Data!P44="","",Data!P44),"")</x:f>
        <x:v>High</x:v>
      </x:c>
      <x:c r="Q44" t="str">
        <x:f>IF(Data!$P44="High",IF(Data!Q44="","",Data!Q44),"")</x:f>
        <x:v>Approval issue</x:v>
      </x:c>
    </x:row>
    <x:row r="45">
      <x:c r="A45" t="str">
        <x:f>IF(Data!$P45="High",IF(Data!A45="","",Data!A45),"")</x:f>
        <x:v>AP-0044</x:v>
      </x:c>
      <x:c r="B45" t="str">
        <x:f>IF(Data!$P45="High",IF(Data!B45="","",Data!B45),"")</x:f>
        <x:v>Vendor 3</x:v>
      </x:c>
      <x:c r="C45" t="str">
        <x:f>IF(Data!$P45="High",IF(Data!C45="","",Data!C45),"")</x:f>
        <x:v>INV-38734</x:v>
      </x:c>
      <x:c r="D45" t="str">
        <x:f>IF(Data!$P45="High",IF(Data!D45="","",Data!D45),"")</x:f>
      </x:c>
      <x:c r="E45" s="123" t="n">
        <x:f>IF(Data!$P45="High",IF(Data!E45="","",Data!E45),"")</x:f>
        <x:v>46177</x:v>
      </x:c>
      <x:c r="F45" s="123" t="n">
        <x:f>IF(Data!$P45="High",IF(Data!F45="","",Data!F45),"")</x:f>
        <x:v>46192</x:v>
      </x:c>
      <x:c r="G45" s="124" t="n">
        <x:f>IF(Data!$P45="High",IF(Data!G45="","",Data!G45),"")</x:f>
        <x:v>5887.94</x:v>
      </x:c>
      <x:c r="H45" s="124" t="n">
        <x:f>IF(Data!$P45="High",IF(Data!H45="","",Data!H45),"")</x:f>
        <x:v>765.43</x:v>
      </x:c>
      <x:c r="I45" s="124" t="n">
        <x:f>IF(Data!$P45="High",IF(Data!I45="","",Data!I45),"")</x:f>
        <x:v>6653.37</x:v>
      </x:c>
      <x:c r="J45" t="str">
        <x:f>IF(Data!$P45="High",IF(Data!J45="","",Data!J45),"")</x:f>
        <x:v>Paid</x:v>
      </x:c>
      <x:c r="K45" t="str">
        <x:f>IF(Data!$P45="High",IF(Data!K45="","",Data!K45),"")</x:f>
        <x:v>Approved</x:v>
      </x:c>
      <x:c r="L45" t="str">
        <x:f>IF(Data!$P45="High",IF(Data!L45="","",Data!L45),"")</x:f>
        <x:v>OK</x:v>
      </x:c>
      <x:c r="M45" t="str">
        <x:f>IF(Data!$P45="High",IF(Data!M45="","",Data!M45),"")</x:f>
        <x:v>Missing PO</x:v>
      </x:c>
      <x:c r="N45" t="str">
        <x:f>IF(Data!$P45="High",IF(Data!N45="","",Data!N45),"")</x:f>
        <x:v>OK</x:v>
      </x:c>
      <x:c r="O45" s="100" t="n">
        <x:f>IF(Data!$P45="High",Data!O45,"")</x:f>
        <x:v>0</x:v>
      </x:c>
      <x:c r="P45" t="str">
        <x:f>IF(Data!$P45="High",IF(Data!P45="","",Data!P45),"")</x:f>
        <x:v>High</x:v>
      </x:c>
      <x:c r="Q45" t="str">
        <x:f>IF(Data!$P45="High",IF(Data!Q45="","",Data!Q45),"")</x:f>
        <x:v>Missing PO</x:v>
      </x:c>
    </x:row>
    <x:row r="46">
      <x:c r="A46" t="str">
        <x:f>IF(Data!$P46="High",IF(Data!A46="","",Data!A46),"")</x:f>
        <x:v>AP-0045</x:v>
      </x:c>
      <x:c r="B46" t="str">
        <x:f>IF(Data!$P46="High",IF(Data!B46="","",Data!B46),"")</x:f>
        <x:v>Vendor 17</x:v>
      </x:c>
      <x:c r="C46" t="str">
        <x:f>IF(Data!$P46="High",IF(Data!C46="","",Data!C46),"")</x:f>
        <x:v>INV-39444</x:v>
      </x:c>
      <x:c r="D46" t="str">
        <x:f>IF(Data!$P46="High",IF(Data!D46="","",Data!D46),"")</x:f>
      </x:c>
      <x:c r="E46" s="123" t="n">
        <x:f>IF(Data!$P46="High",IF(Data!E46="","",Data!E46),"")</x:f>
        <x:v>46186</x:v>
      </x:c>
      <x:c r="F46" s="123" t="n">
        <x:f>IF(Data!$P46="High",IF(Data!F46="","",Data!F46),"")</x:f>
        <x:v>46216</x:v>
      </x:c>
      <x:c r="G46" s="124" t="n">
        <x:f>IF(Data!$P46="High",IF(Data!G46="","",Data!G46),"")</x:f>
        <x:v>5905.91</x:v>
      </x:c>
      <x:c r="H46" s="124" t="n">
        <x:f>IF(Data!$P46="High",IF(Data!H46="","",Data!H46),"")</x:f>
        <x:v>771.62</x:v>
      </x:c>
      <x:c r="I46" s="124" t="n">
        <x:f>IF(Data!$P46="High",IF(Data!I46="","",Data!I46),"")</x:f>
        <x:v>6677.53</x:v>
      </x:c>
      <x:c r="J46" t="str">
        <x:f>IF(Data!$P46="High",IF(Data!J46="","",Data!J46),"")</x:f>
        <x:v>Paid</x:v>
      </x:c>
      <x:c r="K46" t="str">
        <x:f>IF(Data!$P46="High",IF(Data!K46="","",Data!K46),"")</x:f>
        <x:v>Rejected</x:v>
      </x:c>
      <x:c r="L46" t="str">
        <x:f>IF(Data!$P46="High",IF(Data!L46="","",Data!L46),"")</x:f>
        <x:v>OK</x:v>
      </x:c>
      <x:c r="M46" t="str">
        <x:f>IF(Data!$P46="High",IF(Data!M46="","",Data!M46),"")</x:f>
        <x:v>Missing PO</x:v>
      </x:c>
      <x:c r="N46" t="str">
        <x:f>IF(Data!$P46="High",IF(Data!N46="","",Data!N46),"")</x:f>
        <x:v>Review Tax</x:v>
      </x:c>
      <x:c r="O46" s="100" t="n">
        <x:f>IF(Data!$P46="High",Data!O46,"")</x:f>
        <x:v>0</x:v>
      </x:c>
      <x:c r="P46" t="str">
        <x:f>IF(Data!$P46="High",IF(Data!P46="","",Data!P46),"")</x:f>
        <x:v>High</x:v>
      </x:c>
      <x:c r="Q46" t="str">
        <x:f>IF(Data!$P46="High",IF(Data!Q46="","",Data!Q46),"")</x:f>
        <x:v>Missing PO; Tax variance; Approval issue</x:v>
      </x:c>
    </x:row>
    <x:row r="47">
      <x:c r="A47" t="str">
        <x:f>IF(Data!$P47="High",IF(Data!A47="","",Data!A47),"")</x:f>
        <x:v>AP-0046</x:v>
      </x:c>
      <x:c r="B47" t="str">
        <x:f>IF(Data!$P47="High",IF(Data!B47="","",Data!B47),"")</x:f>
        <x:v>Vendor 5</x:v>
      </x:c>
      <x:c r="C47" t="str">
        <x:f>IF(Data!$P47="High",IF(Data!C47="","",Data!C47),"")</x:f>
        <x:v>INV-46977</x:v>
      </x:c>
      <x:c r="D47" t="str">
        <x:f>IF(Data!$P47="High",IF(Data!D47="","",Data!D47),"")</x:f>
        <x:v>PO-1057</x:v>
      </x:c>
      <x:c r="E47" s="123" t="n">
        <x:f>IF(Data!$P47="High",IF(Data!E47="","",Data!E47),"")</x:f>
        <x:v>46155</x:v>
      </x:c>
      <x:c r="F47" s="123" t="n">
        <x:f>IF(Data!$P47="High",IF(Data!F47="","",Data!F47),"")</x:f>
        <x:v>46170</x:v>
      </x:c>
      <x:c r="G47" s="124" t="n">
        <x:f>IF(Data!$P47="High",IF(Data!G47="","",Data!G47),"")</x:f>
        <x:v>10584.03</x:v>
      </x:c>
      <x:c r="H47" s="124" t="n">
        <x:f>IF(Data!$P47="High",IF(Data!H47="","",Data!H47),"")</x:f>
        <x:v>1375.92</x:v>
      </x:c>
      <x:c r="I47" s="124" t="n">
        <x:f>IF(Data!$P47="High",IF(Data!I47="","",Data!I47),"")</x:f>
        <x:v>11959.95</x:v>
      </x:c>
      <x:c r="J47" t="str">
        <x:f>IF(Data!$P47="High",IF(Data!J47="","",Data!J47),"")</x:f>
        <x:v>On Hold</x:v>
      </x:c>
      <x:c r="K47" t="str">
        <x:f>IF(Data!$P47="High",IF(Data!K47="","",Data!K47),"")</x:f>
        <x:v>Pending</x:v>
      </x:c>
      <x:c r="L47" t="str">
        <x:f>IF(Data!$P47="High",IF(Data!L47="","",Data!L47),"")</x:f>
        <x:v>OK</x:v>
      </x:c>
      <x:c r="M47" t="str">
        <x:f>IF(Data!$P47="High",IF(Data!M47="","",Data!M47),"")</x:f>
        <x:v>Matched</x:v>
      </x:c>
      <x:c r="N47" t="str">
        <x:f>IF(Data!$P47="High",IF(Data!N47="","",Data!N47),"")</x:f>
        <x:v>OK</x:v>
      </x:c>
      <x:c r="O47" s="100" t="n">
        <x:f>IF(Data!$P47="High",Data!O47,"")</x:f>
        <x:v>62</x:v>
      </x:c>
      <x:c r="P47" t="str">
        <x:f>IF(Data!$P47="High",IF(Data!P47="","",Data!P47),"")</x:f>
        <x:v>High</x:v>
      </x:c>
      <x:c r="Q47" t="str">
        <x:f>IF(Data!$P47="High",IF(Data!Q47="","",Data!Q47),"")</x:f>
        <x:v>Overdue; Approval issue</x:v>
      </x:c>
    </x:row>
    <x:row r="48">
      <x:c r="A48" t="str">
        <x:f>IF(Data!$P48="High",IF(Data!A48="","",Data!A48),"")</x:f>
        <x:v>AP-0047</x:v>
      </x:c>
      <x:c r="B48" t="str">
        <x:f>IF(Data!$P48="High",IF(Data!B48="","",Data!B48),"")</x:f>
        <x:v>Vendor 9</x:v>
      </x:c>
      <x:c r="C48" t="str">
        <x:f>IF(Data!$P48="High",IF(Data!C48="","",Data!C48),"")</x:f>
        <x:v>INV-29630</x:v>
      </x:c>
      <x:c r="D48" t="str">
        <x:f>IF(Data!$P48="High",IF(Data!D48="","",Data!D48),"")</x:f>
        <x:v>PO-1031</x:v>
      </x:c>
      <x:c r="E48" s="123" t="n">
        <x:f>IF(Data!$P48="High",IF(Data!E48="","",Data!E48),"")</x:f>
        <x:v>46185</x:v>
      </x:c>
      <x:c r="F48" s="123" t="n">
        <x:f>IF(Data!$P48="High",IF(Data!F48="","",Data!F48),"")</x:f>
        <x:v>46215</x:v>
      </x:c>
      <x:c r="G48" s="124" t="n">
        <x:f>IF(Data!$P48="High",IF(Data!G48="","",Data!G48),"")</x:f>
        <x:v>6282.54</x:v>
      </x:c>
      <x:c r="H48" s="124" t="n">
        <x:f>IF(Data!$P48="High",IF(Data!H48="","",Data!H48),"")</x:f>
        <x:v>824.11</x:v>
      </x:c>
      <x:c r="I48" s="124" t="n">
        <x:f>IF(Data!$P48="High",IF(Data!I48="","",Data!I48),"")</x:f>
        <x:v>7106.65</x:v>
      </x:c>
      <x:c r="J48" t="str">
        <x:f>IF(Data!$P48="High",IF(Data!J48="","",Data!J48),"")</x:f>
        <x:v>Paid</x:v>
      </x:c>
      <x:c r="K48" t="str">
        <x:f>IF(Data!$P48="High",IF(Data!K48="","",Data!K48),"")</x:f>
        <x:v>Rejected</x:v>
      </x:c>
      <x:c r="L48" t="str">
        <x:f>IF(Data!$P48="High",IF(Data!L48="","",Data!L48),"")</x:f>
        <x:v>OK</x:v>
      </x:c>
      <x:c r="M48" t="str">
        <x:f>IF(Data!$P48="High",IF(Data!M48="","",Data!M48),"")</x:f>
        <x:v>Matched</x:v>
      </x:c>
      <x:c r="N48" t="str">
        <x:f>IF(Data!$P48="High",IF(Data!N48="","",Data!N48),"")</x:f>
        <x:v>Review Tax</x:v>
      </x:c>
      <x:c r="O48" s="100" t="n">
        <x:f>IF(Data!$P48="High",Data!O48,"")</x:f>
        <x:v>0</x:v>
      </x:c>
      <x:c r="P48" t="str">
        <x:f>IF(Data!$P48="High",IF(Data!P48="","",Data!P48),"")</x:f>
        <x:v>High</x:v>
      </x:c>
      <x:c r="Q48" t="str">
        <x:f>IF(Data!$P48="High",IF(Data!Q48="","",Data!Q48),"")</x:f>
        <x:v>Tax variance; Approval issue</x:v>
      </x:c>
    </x:row>
    <x:row r="49">
      <x:c r="A49" t="str">
        <x:f>IF(Data!$P49="High",IF(Data!A49="","",Data!A49),"")</x:f>
        <x:v>AP-0048</x:v>
      </x:c>
      <x:c r="B49" t="str">
        <x:f>IF(Data!$P49="High",IF(Data!B49="","",Data!B49),"")</x:f>
        <x:v>Vendor 27</x:v>
      </x:c>
      <x:c r="C49" t="str">
        <x:f>IF(Data!$P49="High",IF(Data!C49="","",Data!C49),"")</x:f>
        <x:v>INV-46521</x:v>
      </x:c>
      <x:c r="D49" t="str">
        <x:f>IF(Data!$P49="High",IF(Data!D49="","",Data!D49),"")</x:f>
      </x:c>
      <x:c r="E49" s="123" t="n">
        <x:f>IF(Data!$P49="High",IF(Data!E49="","",Data!E49),"")</x:f>
        <x:v>46164</x:v>
      </x:c>
      <x:c r="F49" s="123" t="n">
        <x:f>IF(Data!$P49="High",IF(Data!F49="","",Data!F49),"")</x:f>
        <x:v>46194</x:v>
      </x:c>
      <x:c r="G49" s="124" t="n">
        <x:f>IF(Data!$P49="High",IF(Data!G49="","",Data!G49),"")</x:f>
        <x:v>11377.58</x:v>
      </x:c>
      <x:c r="H49" s="124" t="n">
        <x:f>IF(Data!$P49="High",IF(Data!H49="","",Data!H49),"")</x:f>
        <x:v>1486.86</x:v>
      </x:c>
      <x:c r="I49" s="124" t="n">
        <x:f>IF(Data!$P49="High",IF(Data!I49="","",Data!I49),"")</x:f>
        <x:v>12864.44</x:v>
      </x:c>
      <x:c r="J49" t="str">
        <x:f>IF(Data!$P49="High",IF(Data!J49="","",Data!J49),"")</x:f>
        <x:v>Paid</x:v>
      </x:c>
      <x:c r="K49" t="str">
        <x:f>IF(Data!$P49="High",IF(Data!K49="","",Data!K49),"")</x:f>
        <x:v>Approved</x:v>
      </x:c>
      <x:c r="L49" t="str">
        <x:f>IF(Data!$P49="High",IF(Data!L49="","",Data!L49),"")</x:f>
        <x:v>OK</x:v>
      </x:c>
      <x:c r="M49" t="str">
        <x:f>IF(Data!$P49="High",IF(Data!M49="","",Data!M49),"")</x:f>
        <x:v>Missing PO</x:v>
      </x:c>
      <x:c r="N49" t="str">
        <x:f>IF(Data!$P49="High",IF(Data!N49="","",Data!N49),"")</x:f>
        <x:v>Review Tax</x:v>
      </x:c>
      <x:c r="O49" s="100" t="n">
        <x:f>IF(Data!$P49="High",Data!O49,"")</x:f>
        <x:v>0</x:v>
      </x:c>
      <x:c r="P49" t="str">
        <x:f>IF(Data!$P49="High",IF(Data!P49="","",Data!P49),"")</x:f>
        <x:v>High</x:v>
      </x:c>
      <x:c r="Q49" t="str">
        <x:f>IF(Data!$P49="High",IF(Data!Q49="","",Data!Q49),"")</x:f>
        <x:v>Missing PO; Tax variance</x:v>
      </x:c>
    </x:row>
    <x:row r="50">
      <x:c r="A50" t="str">
        <x:f>IF(Data!$P50="High",IF(Data!A50="","",Data!A50),"")</x:f>
        <x:v>AP-0049</x:v>
      </x:c>
      <x:c r="B50" t="str">
        <x:f>IF(Data!$P50="High",IF(Data!B50="","",Data!B50),"")</x:f>
        <x:v>Vendor 9</x:v>
      </x:c>
      <x:c r="C50" t="str">
        <x:f>IF(Data!$P50="High",IF(Data!C50="","",Data!C50),"")</x:f>
        <x:v>INV-30253</x:v>
      </x:c>
      <x:c r="D50" t="str">
        <x:f>IF(Data!$P50="High",IF(Data!D50="","",Data!D50),"")</x:f>
        <x:v>PO-1054</x:v>
      </x:c>
      <x:c r="E50" s="123" t="n">
        <x:f>IF(Data!$P50="High",IF(Data!E50="","",Data!E50),"")</x:f>
        <x:v>46176</x:v>
      </x:c>
      <x:c r="F50" s="123" t="n">
        <x:f>IF(Data!$P50="High",IF(Data!F50="","",Data!F50),"")</x:f>
        <x:v>46206</x:v>
      </x:c>
      <x:c r="G50" s="124" t="n">
        <x:f>IF(Data!$P50="High",IF(Data!G50="","",Data!G50),"")</x:f>
        <x:v>8595.81</x:v>
      </x:c>
      <x:c r="H50" s="124" t="n">
        <x:f>IF(Data!$P50="High",IF(Data!H50="","",Data!H50),"")</x:f>
        <x:v>1117.46</x:v>
      </x:c>
      <x:c r="I50" s="124" t="n">
        <x:f>IF(Data!$P50="High",IF(Data!I50="","",Data!I50),"")</x:f>
        <x:v>9713.27</x:v>
      </x:c>
      <x:c r="J50" t="str">
        <x:f>IF(Data!$P50="High",IF(Data!J50="","",Data!J50),"")</x:f>
        <x:v>Unpaid</x:v>
      </x:c>
      <x:c r="K50" t="str">
        <x:f>IF(Data!$P50="High",IF(Data!K50="","",Data!K50),"")</x:f>
        <x:v>Rejected</x:v>
      </x:c>
      <x:c r="L50" t="str">
        <x:f>IF(Data!$P50="High",IF(Data!L50="","",Data!L50),"")</x:f>
        <x:v>Duplicate Risk</x:v>
      </x:c>
      <x:c r="M50" t="str">
        <x:f>IF(Data!$P50="High",IF(Data!M50="","",Data!M50),"")</x:f>
        <x:v>Matched</x:v>
      </x:c>
      <x:c r="N50" t="str">
        <x:f>IF(Data!$P50="High",IF(Data!N50="","",Data!N50),"")</x:f>
        <x:v>OK</x:v>
      </x:c>
      <x:c r="O50" s="100" t="n">
        <x:f>IF(Data!$P50="High",Data!O50,"")</x:f>
        <x:v>26</x:v>
      </x:c>
      <x:c r="P50" t="str">
        <x:f>IF(Data!$P50="High",IF(Data!P50="","",Data!P50),"")</x:f>
        <x:v>High</x:v>
      </x:c>
      <x:c r="Q50" t="str">
        <x:f>IF(Data!$P50="High",IF(Data!Q50="","",Data!Q50),"")</x:f>
        <x:v>Duplicate risk; Overdue; Approval issue</x:v>
      </x:c>
    </x:row>
    <x:row r="51">
      <x:c r="A51" t="str">
        <x:f>IF(Data!$P51="High",IF(Data!A51="","",Data!A51),"")</x:f>
        <x:v>AP-0050</x:v>
      </x:c>
      <x:c r="B51" t="str">
        <x:f>IF(Data!$P51="High",IF(Data!B51="","",Data!B51),"")</x:f>
        <x:v>Vendor 6</x:v>
      </x:c>
      <x:c r="C51" t="str">
        <x:f>IF(Data!$P51="High",IF(Data!C51="","",Data!C51),"")</x:f>
        <x:v>INV-36744</x:v>
      </x:c>
      <x:c r="D51" t="str">
        <x:f>IF(Data!$P51="High",IF(Data!D51="","",Data!D51),"")</x:f>
        <x:v>PO-1034</x:v>
      </x:c>
      <x:c r="E51" s="123" t="n">
        <x:f>IF(Data!$P51="High",IF(Data!E51="","",Data!E51),"")</x:f>
        <x:v>46152</x:v>
      </x:c>
      <x:c r="F51" s="123" t="n">
        <x:f>IF(Data!$P51="High",IF(Data!F51="","",Data!F51),"")</x:f>
        <x:v>46197</x:v>
      </x:c>
      <x:c r="G51" s="124" t="n">
        <x:f>IF(Data!$P51="High",IF(Data!G51="","",Data!G51),"")</x:f>
        <x:v>3439.57</x:v>
      </x:c>
      <x:c r="H51" s="124" t="n">
        <x:f>IF(Data!$P51="High",IF(Data!H51="","",Data!H51),"")</x:f>
        <x:v>450.24</x:v>
      </x:c>
      <x:c r="I51" s="124" t="n">
        <x:f>IF(Data!$P51="High",IF(Data!I51="","",Data!I51),"")</x:f>
        <x:v>3889.8100000000004</x:v>
      </x:c>
      <x:c r="J51" t="str">
        <x:f>IF(Data!$P51="High",IF(Data!J51="","",Data!J51),"")</x:f>
        <x:v>Paid</x:v>
      </x:c>
      <x:c r="K51" t="str">
        <x:f>IF(Data!$P51="High",IF(Data!K51="","",Data!K51),"")</x:f>
        <x:v>Approved</x:v>
      </x:c>
      <x:c r="L51" t="str">
        <x:f>IF(Data!$P51="High",IF(Data!L51="","",Data!L51),"")</x:f>
        <x:v>Duplicate Risk</x:v>
      </x:c>
      <x:c r="M51" t="str">
        <x:f>IF(Data!$P51="High",IF(Data!M51="","",Data!M51),"")</x:f>
        <x:v>Matched</x:v>
      </x:c>
      <x:c r="N51" t="str">
        <x:f>IF(Data!$P51="High",IF(Data!N51="","",Data!N51),"")</x:f>
        <x:v>Review Tax</x:v>
      </x:c>
      <x:c r="O51" s="100" t="n">
        <x:f>IF(Data!$P51="High",Data!O51,"")</x:f>
        <x:v>0</x:v>
      </x:c>
      <x:c r="P51" t="str">
        <x:f>IF(Data!$P51="High",IF(Data!P51="","",Data!P51),"")</x:f>
        <x:v>High</x:v>
      </x:c>
      <x:c r="Q51" t="str">
        <x:f>IF(Data!$P51="High",IF(Data!Q51="","",Data!Q51),"")</x:f>
        <x:v>Duplicate risk; Tax variance</x:v>
      </x:c>
    </x:row>
    <x:row r="52">
      <x:c r="A52" t="str">
        <x:f>IF(Data!$P52="High",IF(Data!A52="","",Data!A52),"")</x:f>
        <x:v>AP-0051</x:v>
      </x:c>
      <x:c r="B52" t="str">
        <x:f>IF(Data!$P52="High",IF(Data!B52="","",Data!B52),"")</x:f>
        <x:v>Vendor 27</x:v>
      </x:c>
      <x:c r="C52" t="str">
        <x:f>IF(Data!$P52="High",IF(Data!C52="","",Data!C52),"")</x:f>
        <x:v>INV-46642</x:v>
      </x:c>
      <x:c r="D52" t="str">
        <x:f>IF(Data!$P52="High",IF(Data!D52="","",Data!D52),"")</x:f>
        <x:v>PO-1045</x:v>
      </x:c>
      <x:c r="E52" s="123" t="n">
        <x:f>IF(Data!$P52="High",IF(Data!E52="","",Data!E52),"")</x:f>
        <x:v>46190</x:v>
      </x:c>
      <x:c r="F52" s="123" t="n">
        <x:f>IF(Data!$P52="High",IF(Data!F52="","",Data!F52),"")</x:f>
        <x:v>46220</x:v>
      </x:c>
      <x:c r="G52" s="124" t="n">
        <x:f>IF(Data!$P52="High",IF(Data!G52="","",Data!G52),"")</x:f>
        <x:v>5548.1</x:v>
      </x:c>
      <x:c r="H52" s="124" t="n">
        <x:f>IF(Data!$P52="High",IF(Data!H52="","",Data!H52),"")</x:f>
        <x:v>725.29</x:v>
      </x:c>
      <x:c r="I52" s="124" t="n">
        <x:f>IF(Data!$P52="High",IF(Data!I52="","",Data!I52),"")</x:f>
        <x:v>6273.39</x:v>
      </x:c>
      <x:c r="J52" t="str">
        <x:f>IF(Data!$P52="High",IF(Data!J52="","",Data!J52),"")</x:f>
        <x:v>On Hold</x:v>
      </x:c>
      <x:c r="K52" t="str">
        <x:f>IF(Data!$P52="High",IF(Data!K52="","",Data!K52),"")</x:f>
        <x:v>Pending</x:v>
      </x:c>
      <x:c r="L52" t="str">
        <x:f>IF(Data!$P52="High",IF(Data!L52="","",Data!L52),"")</x:f>
        <x:v>OK</x:v>
      </x:c>
      <x:c r="M52" t="str">
        <x:f>IF(Data!$P52="High",IF(Data!M52="","",Data!M52),"")</x:f>
        <x:v>Matched</x:v>
      </x:c>
      <x:c r="N52" t="str">
        <x:f>IF(Data!$P52="High",IF(Data!N52="","",Data!N52),"")</x:f>
        <x:v>Review Tax</x:v>
      </x:c>
      <x:c r="O52" s="100" t="n">
        <x:f>IF(Data!$P52="High",Data!O52,"")</x:f>
        <x:v>12</x:v>
      </x:c>
      <x:c r="P52" t="str">
        <x:f>IF(Data!$P52="High",IF(Data!P52="","",Data!P52),"")</x:f>
        <x:v>High</x:v>
      </x:c>
      <x:c r="Q52" t="str">
        <x:f>IF(Data!$P52="High",IF(Data!Q52="","",Data!Q52),"")</x:f>
        <x:v>Tax variance; Overdue; Approval issue</x:v>
      </x:c>
    </x:row>
    <x:row r="53">
      <x:c r="A53" t="str">
        <x:f>IF(Data!$P53="High",IF(Data!A53="","",Data!A53),"")</x:f>
        <x:v>AP-0052</x:v>
      </x:c>
      <x:c r="B53" t="str">
        <x:f>IF(Data!$P53="High",IF(Data!B53="","",Data!B53),"")</x:f>
        <x:v>Vendor 4</x:v>
      </x:c>
      <x:c r="C53" t="str">
        <x:f>IF(Data!$P53="High",IF(Data!C53="","",Data!C53),"")</x:f>
        <x:v>INV-32976</x:v>
      </x:c>
      <x:c r="D53" t="str">
        <x:f>IF(Data!$P53="High",IF(Data!D53="","",Data!D53),"")</x:f>
      </x:c>
      <x:c r="E53" s="123" t="n">
        <x:f>IF(Data!$P53="High",IF(Data!E53="","",Data!E53),"")</x:f>
        <x:v>46196</x:v>
      </x:c>
      <x:c r="F53" s="123" t="n">
        <x:f>IF(Data!$P53="High",IF(Data!F53="","",Data!F53),"")</x:f>
        <x:v>46226</x:v>
      </x:c>
      <x:c r="G53" s="124" t="n">
        <x:f>IF(Data!$P53="High",IF(Data!G53="","",Data!G53),"")</x:f>
        <x:v>1265.96</x:v>
      </x:c>
      <x:c r="H53" s="124" t="n">
        <x:f>IF(Data!$P53="High",IF(Data!H53="","",Data!H53),"")</x:f>
        <x:v>164.57</x:v>
      </x:c>
      <x:c r="I53" s="124" t="n">
        <x:f>IF(Data!$P53="High",IF(Data!I53="","",Data!I53),"")</x:f>
        <x:v>1430.53</x:v>
      </x:c>
      <x:c r="J53" t="str">
        <x:f>IF(Data!$P53="High",IF(Data!J53="","",Data!J53),"")</x:f>
        <x:v>Unpaid</x:v>
      </x:c>
      <x:c r="K53" t="str">
        <x:f>IF(Data!$P53="High",IF(Data!K53="","",Data!K53),"")</x:f>
        <x:v>Rejected</x:v>
      </x:c>
      <x:c r="L53" t="str">
        <x:f>IF(Data!$P53="High",IF(Data!L53="","",Data!L53),"")</x:f>
        <x:v>OK</x:v>
      </x:c>
      <x:c r="M53" t="str">
        <x:f>IF(Data!$P53="High",IF(Data!M53="","",Data!M53),"")</x:f>
        <x:v>Missing PO</x:v>
      </x:c>
      <x:c r="N53" t="str">
        <x:f>IF(Data!$P53="High",IF(Data!N53="","",Data!N53),"")</x:f>
        <x:v>OK</x:v>
      </x:c>
      <x:c r="O53" s="100" t="n">
        <x:f>IF(Data!$P53="High",Data!O53,"")</x:f>
        <x:v>6</x:v>
      </x:c>
      <x:c r="P53" t="str">
        <x:f>IF(Data!$P53="High",IF(Data!P53="","",Data!P53),"")</x:f>
        <x:v>High</x:v>
      </x:c>
      <x:c r="Q53" t="str">
        <x:f>IF(Data!$P53="High",IF(Data!Q53="","",Data!Q53),"")</x:f>
        <x:v>Missing PO; Overdue; Approval issue</x:v>
      </x:c>
    </x:row>
    <x:row r="54">
      <x:c r="A54" t="str">
        <x:f>IF(Data!$P54="High",IF(Data!A54="","",Data!A54),"")</x:f>
        <x:v>AP-0053</x:v>
      </x:c>
      <x:c r="B54" t="str">
        <x:f>IF(Data!$P54="High",IF(Data!B54="","",Data!B54),"")</x:f>
        <x:v>Vendor 29</x:v>
      </x:c>
      <x:c r="C54" t="str">
        <x:f>IF(Data!$P54="High",IF(Data!C54="","",Data!C54),"")</x:f>
        <x:v>INV-37668</x:v>
      </x:c>
      <x:c r="D54" t="str">
        <x:f>IF(Data!$P54="High",IF(Data!D54="","",Data!D54),"")</x:f>
        <x:v>PO-1057</x:v>
      </x:c>
      <x:c r="E54" s="123" t="n">
        <x:f>IF(Data!$P54="High",IF(Data!E54="","",Data!E54),"")</x:f>
        <x:v>46149</x:v>
      </x:c>
      <x:c r="F54" s="123" t="n">
        <x:f>IF(Data!$P54="High",IF(Data!F54="","",Data!F54),"")</x:f>
        <x:v>46164</x:v>
      </x:c>
      <x:c r="G54" s="124" t="n">
        <x:f>IF(Data!$P54="High",IF(Data!G54="","",Data!G54),"")</x:f>
        <x:v>3347.81</x:v>
      </x:c>
      <x:c r="H54" s="124" t="n">
        <x:f>IF(Data!$P54="High",IF(Data!H54="","",Data!H54),"")</x:f>
        <x:v>435.22</x:v>
      </x:c>
      <x:c r="I54" s="124" t="n">
        <x:f>IF(Data!$P54="High",IF(Data!I54="","",Data!I54),"")</x:f>
        <x:v>3783.0299999999997</x:v>
      </x:c>
      <x:c r="J54" t="str">
        <x:f>IF(Data!$P54="High",IF(Data!J54="","",Data!J54),"")</x:f>
        <x:v>On Hold</x:v>
      </x:c>
      <x:c r="K54" t="str">
        <x:f>IF(Data!$P54="High",IF(Data!K54="","",Data!K54),"")</x:f>
        <x:v>Approved</x:v>
      </x:c>
      <x:c r="L54" t="str">
        <x:f>IF(Data!$P54="High",IF(Data!L54="","",Data!L54),"")</x:f>
        <x:v>OK</x:v>
      </x:c>
      <x:c r="M54" t="str">
        <x:f>IF(Data!$P54="High",IF(Data!M54="","",Data!M54),"")</x:f>
        <x:v>Matched</x:v>
      </x:c>
      <x:c r="N54" t="str">
        <x:f>IF(Data!$P54="High",IF(Data!N54="","",Data!N54),"")</x:f>
        <x:v>OK</x:v>
      </x:c>
      <x:c r="O54" s="100" t="n">
        <x:f>IF(Data!$P54="High",Data!O54,"")</x:f>
        <x:v>68</x:v>
      </x:c>
      <x:c r="P54" t="str">
        <x:f>IF(Data!$P54="High",IF(Data!P54="","",Data!P54),"")</x:f>
        <x:v>High</x:v>
      </x:c>
      <x:c r="Q54" t="str">
        <x:f>IF(Data!$P54="High",IF(Data!Q54="","",Data!Q54),"")</x:f>
        <x:v>Overdue</x:v>
      </x:c>
    </x:row>
    <x:row r="55">
      <x:c r="A55" t="str">
        <x:f>IF(Data!$P55="High",IF(Data!A55="","",Data!A55),"")</x:f>
        <x:v>AP-0054</x:v>
      </x:c>
      <x:c r="B55" t="str">
        <x:f>IF(Data!$P55="High",IF(Data!B55="","",Data!B55),"")</x:f>
        <x:v>Vendor 20</x:v>
      </x:c>
      <x:c r="C55" t="str">
        <x:f>IF(Data!$P55="High",IF(Data!C55="","",Data!C55),"")</x:f>
        <x:v>INV-37521</x:v>
      </x:c>
      <x:c r="D55" t="str">
        <x:f>IF(Data!$P55="High",IF(Data!D55="","",Data!D55),"")</x:f>
      </x:c>
      <x:c r="E55" s="123" t="n">
        <x:f>IF(Data!$P55="High",IF(Data!E55="","",Data!E55),"")</x:f>
        <x:v>46191</x:v>
      </x:c>
      <x:c r="F55" s="123" t="n">
        <x:f>IF(Data!$P55="High",IF(Data!F55="","",Data!F55),"")</x:f>
        <x:v>46221</x:v>
      </x:c>
      <x:c r="G55" s="124" t="n">
        <x:f>IF(Data!$P55="High",IF(Data!G55="","",Data!G55),"")</x:f>
        <x:v>10225.49</x:v>
      </x:c>
      <x:c r="H55" s="124" t="n">
        <x:f>IF(Data!$P55="High",IF(Data!H55="","",Data!H55),"")</x:f>
        <x:v>1329.31</x:v>
      </x:c>
      <x:c r="I55" s="124" t="n">
        <x:f>IF(Data!$P55="High",IF(Data!I55="","",Data!I55),"")</x:f>
        <x:v>11554.8</x:v>
      </x:c>
      <x:c r="J55" t="str">
        <x:f>IF(Data!$P55="High",IF(Data!J55="","",Data!J55),"")</x:f>
        <x:v>Unpaid</x:v>
      </x:c>
      <x:c r="K55" t="str">
        <x:f>IF(Data!$P55="High",IF(Data!K55="","",Data!K55),"")</x:f>
        <x:v>Rejected</x:v>
      </x:c>
      <x:c r="L55" t="str">
        <x:f>IF(Data!$P55="High",IF(Data!L55="","",Data!L55),"")</x:f>
        <x:v>OK</x:v>
      </x:c>
      <x:c r="M55" t="str">
        <x:f>IF(Data!$P55="High",IF(Data!M55="","",Data!M55),"")</x:f>
        <x:v>Missing PO</x:v>
      </x:c>
      <x:c r="N55" t="str">
        <x:f>IF(Data!$P55="High",IF(Data!N55="","",Data!N55),"")</x:f>
        <x:v>OK</x:v>
      </x:c>
      <x:c r="O55" s="100" t="n">
        <x:f>IF(Data!$P55="High",Data!O55,"")</x:f>
        <x:v>11</x:v>
      </x:c>
      <x:c r="P55" t="str">
        <x:f>IF(Data!$P55="High",IF(Data!P55="","",Data!P55),"")</x:f>
        <x:v>High</x:v>
      </x:c>
      <x:c r="Q55" t="str">
        <x:f>IF(Data!$P55="High",IF(Data!Q55="","",Data!Q55),"")</x:f>
        <x:v>Missing PO; Overdue; Approval issue</x:v>
      </x:c>
    </x:row>
    <x:row r="56">
      <x:c r="A56" t="str">
        <x:f>IF(Data!$P56="High",IF(Data!A56="","",Data!A56),"")</x:f>
        <x:v>AP-0055</x:v>
      </x:c>
      <x:c r="B56" t="str">
        <x:f>IF(Data!$P56="High",IF(Data!B56="","",Data!B56),"")</x:f>
        <x:v>Vendor 11</x:v>
      </x:c>
      <x:c r="C56" t="str">
        <x:f>IF(Data!$P56="High",IF(Data!C56="","",Data!C56),"")</x:f>
        <x:v>INV-38067</x:v>
      </x:c>
      <x:c r="D56" t="str">
        <x:f>IF(Data!$P56="High",IF(Data!D56="","",Data!D56),"")</x:f>
      </x:c>
      <x:c r="E56" s="123" t="n">
        <x:f>IF(Data!$P56="High",IF(Data!E56="","",Data!E56),"")</x:f>
        <x:v>46172</x:v>
      </x:c>
      <x:c r="F56" s="123" t="n">
        <x:f>IF(Data!$P56="High",IF(Data!F56="","",Data!F56),"")</x:f>
        <x:v>46187</x:v>
      </x:c>
      <x:c r="G56" s="124" t="n">
        <x:f>IF(Data!$P56="High",IF(Data!G56="","",Data!G56),"")</x:f>
        <x:v>8030.46</x:v>
      </x:c>
      <x:c r="H56" s="124" t="n">
        <x:f>IF(Data!$P56="High",IF(Data!H56="","",Data!H56),"")</x:f>
        <x:v>1043.96</x:v>
      </x:c>
      <x:c r="I56" s="124" t="n">
        <x:f>IF(Data!$P56="High",IF(Data!I56="","",Data!I56),"")</x:f>
        <x:v>9074.42</x:v>
      </x:c>
      <x:c r="J56" t="str">
        <x:f>IF(Data!$P56="High",IF(Data!J56="","",Data!J56),"")</x:f>
        <x:v>Paid</x:v>
      </x:c>
      <x:c r="K56" t="str">
        <x:f>IF(Data!$P56="High",IF(Data!K56="","",Data!K56),"")</x:f>
        <x:v>Rejected</x:v>
      </x:c>
      <x:c r="L56" t="str">
        <x:f>IF(Data!$P56="High",IF(Data!L56="","",Data!L56),"")</x:f>
        <x:v>OK</x:v>
      </x:c>
      <x:c r="M56" t="str">
        <x:f>IF(Data!$P56="High",IF(Data!M56="","",Data!M56),"")</x:f>
        <x:v>Missing PO</x:v>
      </x:c>
      <x:c r="N56" t="str">
        <x:f>IF(Data!$P56="High",IF(Data!N56="","",Data!N56),"")</x:f>
        <x:v>OK</x:v>
      </x:c>
      <x:c r="O56" s="100" t="n">
        <x:f>IF(Data!$P56="High",Data!O56,"")</x:f>
        <x:v>0</x:v>
      </x:c>
      <x:c r="P56" t="str">
        <x:f>IF(Data!$P56="High",IF(Data!P56="","",Data!P56),"")</x:f>
        <x:v>High</x:v>
      </x:c>
      <x:c r="Q56" t="str">
        <x:f>IF(Data!$P56="High",IF(Data!Q56="","",Data!Q56),"")</x:f>
        <x:v>Missing PO; Approval issue</x:v>
      </x:c>
    </x:row>
    <x:row r="57">
      <x:c r="A57" t="str">
        <x:f>IF(Data!$P57="High",IF(Data!A57="","",Data!A57),"")</x:f>
        <x:v>AP-0056</x:v>
      </x:c>
      <x:c r="B57" t="str">
        <x:f>IF(Data!$P57="High",IF(Data!B57="","",Data!B57),"")</x:f>
        <x:v>Vendor 16</x:v>
      </x:c>
      <x:c r="C57" t="str">
        <x:f>IF(Data!$P57="High",IF(Data!C57="","",Data!C57),"")</x:f>
        <x:v>INV-41585</x:v>
      </x:c>
      <x:c r="D57" t="str">
        <x:f>IF(Data!$P57="High",IF(Data!D57="","",Data!D57),"")</x:f>
      </x:c>
      <x:c r="E57" s="123" t="n">
        <x:f>IF(Data!$P57="High",IF(Data!E57="","",Data!E57),"")</x:f>
        <x:v>46181</x:v>
      </x:c>
      <x:c r="F57" s="123" t="n">
        <x:f>IF(Data!$P57="High",IF(Data!F57="","",Data!F57),"")</x:f>
        <x:v>46196</x:v>
      </x:c>
      <x:c r="G57" s="124" t="n">
        <x:f>IF(Data!$P57="High",IF(Data!G57="","",Data!G57),"")</x:f>
        <x:v>5195.65</x:v>
      </x:c>
      <x:c r="H57" s="124" t="n">
        <x:f>IF(Data!$P57="High",IF(Data!H57="","",Data!H57),"")</x:f>
        <x:v>675.43</x:v>
      </x:c>
      <x:c r="I57" s="124" t="n">
        <x:f>IF(Data!$P57="High",IF(Data!I57="","",Data!I57),"")</x:f>
        <x:v>5871.08</x:v>
      </x:c>
      <x:c r="J57" t="str">
        <x:f>IF(Data!$P57="High",IF(Data!J57="","",Data!J57),"")</x:f>
        <x:v>Paid</x:v>
      </x:c>
      <x:c r="K57" t="str">
        <x:f>IF(Data!$P57="High",IF(Data!K57="","",Data!K57),"")</x:f>
        <x:v>Pending</x:v>
      </x:c>
      <x:c r="L57" t="str">
        <x:f>IF(Data!$P57="High",IF(Data!L57="","",Data!L57),"")</x:f>
        <x:v>OK</x:v>
      </x:c>
      <x:c r="M57" t="str">
        <x:f>IF(Data!$P57="High",IF(Data!M57="","",Data!M57),"")</x:f>
        <x:v>Missing PO</x:v>
      </x:c>
      <x:c r="N57" t="str">
        <x:f>IF(Data!$P57="High",IF(Data!N57="","",Data!N57),"")</x:f>
        <x:v>OK</x:v>
      </x:c>
      <x:c r="O57" s="100" t="n">
        <x:f>IF(Data!$P57="High",Data!O57,"")</x:f>
        <x:v>0</x:v>
      </x:c>
      <x:c r="P57" t="str">
        <x:f>IF(Data!$P57="High",IF(Data!P57="","",Data!P57),"")</x:f>
        <x:v>High</x:v>
      </x:c>
      <x:c r="Q57" t="str">
        <x:f>IF(Data!$P57="High",IF(Data!Q57="","",Data!Q57),"")</x:f>
        <x:v>Missing PO; Approval issue</x:v>
      </x:c>
    </x:row>
    <x:row r="58">
      <x:c r="A58" t="str">
        <x:f>IF(Data!$P58="High",IF(Data!A58="","",Data!A58),"")</x:f>
      </x:c>
      <x:c r="B58" t="str">
        <x:f>IF(Data!$P58="High",IF(Data!B58="","",Data!B58),"")</x:f>
      </x:c>
      <x:c r="C58" t="str">
        <x:f>IF(Data!$P58="High",IF(Data!C58="","",Data!C58),"")</x:f>
      </x:c>
      <x:c r="D58" t="str">
        <x:f>IF(Data!$P58="High",IF(Data!D58="","",Data!D58),"")</x:f>
      </x:c>
      <x:c r="E58" s="123" t="str">
        <x:f>IF(Data!$P58="High",IF(Data!E58="","",Data!E58),"")</x:f>
      </x:c>
      <x:c r="F58" s="123" t="str">
        <x:f>IF(Data!$P58="High",IF(Data!F58="","",Data!F58),"")</x:f>
      </x:c>
      <x:c r="G58" s="124" t="str">
        <x:f>IF(Data!$P58="High",IF(Data!G58="","",Data!G58),"")</x:f>
      </x:c>
      <x:c r="H58" s="124" t="str">
        <x:f>IF(Data!$P58="High",IF(Data!H58="","",Data!H58),"")</x:f>
      </x:c>
      <x:c r="I58" s="124" t="str">
        <x:f>IF(Data!$P58="High",IF(Data!I58="","",Data!I58),"")</x:f>
      </x:c>
      <x:c r="J58" t="str">
        <x:f>IF(Data!$P58="High",IF(Data!J58="","",Data!J58),"")</x:f>
      </x:c>
      <x:c r="K58" t="str">
        <x:f>IF(Data!$P58="High",IF(Data!K58="","",Data!K58),"")</x:f>
      </x:c>
      <x:c r="L58" t="str">
        <x:f>IF(Data!$P58="High",IF(Data!L58="","",Data!L58),"")</x:f>
      </x:c>
      <x:c r="M58" t="str">
        <x:f>IF(Data!$P58="High",IF(Data!M58="","",Data!M58),"")</x:f>
      </x:c>
      <x:c r="N58" t="str">
        <x:f>IF(Data!$P58="High",IF(Data!N58="","",Data!N58),"")</x:f>
      </x:c>
      <x:c r="O58" s="100" t="str">
        <x:f>IF(Data!$P58="High",Data!O58,"")</x:f>
      </x:c>
      <x:c r="P58" t="str">
        <x:f>IF(Data!$P58="High",IF(Data!P58="","",Data!P58),"")</x:f>
      </x:c>
      <x:c r="Q58" t="str">
        <x:f>IF(Data!$P58="High",IF(Data!Q58="","",Data!Q58),"")</x:f>
      </x:c>
    </x:row>
    <x:row r="59">
      <x:c r="A59" t="str">
        <x:f>IF(Data!$P59="High",IF(Data!A59="","",Data!A59),"")</x:f>
        <x:v>AP-0058</x:v>
      </x:c>
      <x:c r="B59" t="str">
        <x:f>IF(Data!$P59="High",IF(Data!B59="","",Data!B59),"")</x:f>
        <x:v>Vendor 9</x:v>
      </x:c>
      <x:c r="C59" t="str">
        <x:f>IF(Data!$P59="High",IF(Data!C59="","",Data!C59),"")</x:f>
        <x:v>INV-30170</x:v>
      </x:c>
      <x:c r="D59" t="str">
        <x:f>IF(Data!$P59="High",IF(Data!D59="","",Data!D59),"")</x:f>
        <x:v>PO-1034</x:v>
      </x:c>
      <x:c r="E59" s="123" t="n">
        <x:f>IF(Data!$P59="High",IF(Data!E59="","",Data!E59),"")</x:f>
        <x:v>46161</x:v>
      </x:c>
      <x:c r="F59" s="123" t="n">
        <x:f>IF(Data!$P59="High",IF(Data!F59="","",Data!F59),"")</x:f>
        <x:v>46191</x:v>
      </x:c>
      <x:c r="G59" s="124" t="n">
        <x:f>IF(Data!$P59="High",IF(Data!G59="","",Data!G59),"")</x:f>
        <x:v>1009.1</x:v>
      </x:c>
      <x:c r="H59" s="124" t="n">
        <x:f>IF(Data!$P59="High",IF(Data!H59="","",Data!H59),"")</x:f>
        <x:v>131.18</x:v>
      </x:c>
      <x:c r="I59" s="124" t="n">
        <x:f>IF(Data!$P59="High",IF(Data!I59="","",Data!I59),"")</x:f>
        <x:v>1140.28</x:v>
      </x:c>
      <x:c r="J59" t="str">
        <x:f>IF(Data!$P59="High",IF(Data!J59="","",Data!J59),"")</x:f>
        <x:v>Paid</x:v>
      </x:c>
      <x:c r="K59" t="str">
        <x:f>IF(Data!$P59="High",IF(Data!K59="","",Data!K59),"")</x:f>
        <x:v>Pending</x:v>
      </x:c>
      <x:c r="L59" t="str">
        <x:f>IF(Data!$P59="High",IF(Data!L59="","",Data!L59),"")</x:f>
        <x:v>OK</x:v>
      </x:c>
      <x:c r="M59" t="str">
        <x:f>IF(Data!$P59="High",IF(Data!M59="","",Data!M59),"")</x:f>
        <x:v>Matched</x:v>
      </x:c>
      <x:c r="N59" t="str">
        <x:f>IF(Data!$P59="High",IF(Data!N59="","",Data!N59),"")</x:f>
        <x:v>OK</x:v>
      </x:c>
      <x:c r="O59" s="100" t="n">
        <x:f>IF(Data!$P59="High",Data!O59,"")</x:f>
        <x:v>0</x:v>
      </x:c>
      <x:c r="P59" t="str">
        <x:f>IF(Data!$P59="High",IF(Data!P59="","",Data!P59),"")</x:f>
        <x:v>High</x:v>
      </x:c>
      <x:c r="Q59" t="str">
        <x:f>IF(Data!$P59="High",IF(Data!Q59="","",Data!Q59),"")</x:f>
        <x:v>Approval issue</x:v>
      </x:c>
    </x:row>
    <x:row r="60">
      <x:c r="A60" t="str">
        <x:f>IF(Data!$P60="High",IF(Data!A60="","",Data!A60),"")</x:f>
        <x:v>AP-0059</x:v>
      </x:c>
      <x:c r="B60" t="str">
        <x:f>IF(Data!$P60="High",IF(Data!B60="","",Data!B60),"")</x:f>
        <x:v>Vendor 27</x:v>
      </x:c>
      <x:c r="C60" t="str">
        <x:f>IF(Data!$P60="High",IF(Data!C60="","",Data!C60),"")</x:f>
        <x:v>INV-43880</x:v>
      </x:c>
      <x:c r="D60" t="str">
        <x:f>IF(Data!$P60="High",IF(Data!D60="","",Data!D60),"")</x:f>
      </x:c>
      <x:c r="E60" s="123" t="n">
        <x:f>IF(Data!$P60="High",IF(Data!E60="","",Data!E60),"")</x:f>
        <x:v>46173</x:v>
      </x:c>
      <x:c r="F60" s="123" t="n">
        <x:f>IF(Data!$P60="High",IF(Data!F60="","",Data!F60),"")</x:f>
        <x:v>46218</x:v>
      </x:c>
      <x:c r="G60" s="124" t="n">
        <x:f>IF(Data!$P60="High",IF(Data!G60="","",Data!G60),"")</x:f>
        <x:v>9905.84</x:v>
      </x:c>
      <x:c r="H60" s="124" t="n">
        <x:f>IF(Data!$P60="High",IF(Data!H60="","",Data!H60),"")</x:f>
        <x:v>1280.62</x:v>
      </x:c>
      <x:c r="I60" s="124" t="n">
        <x:f>IF(Data!$P60="High",IF(Data!I60="","",Data!I60),"")</x:f>
        <x:v>11186.46</x:v>
      </x:c>
      <x:c r="J60" t="str">
        <x:f>IF(Data!$P60="High",IF(Data!J60="","",Data!J60),"")</x:f>
        <x:v>On Hold</x:v>
      </x:c>
      <x:c r="K60" t="str">
        <x:f>IF(Data!$P60="High",IF(Data!K60="","",Data!K60),"")</x:f>
        <x:v>Approved</x:v>
      </x:c>
      <x:c r="L60" t="str">
        <x:f>IF(Data!$P60="High",IF(Data!L60="","",Data!L60),"")</x:f>
        <x:v>OK</x:v>
      </x:c>
      <x:c r="M60" t="str">
        <x:f>IF(Data!$P60="High",IF(Data!M60="","",Data!M60),"")</x:f>
        <x:v>Missing PO</x:v>
      </x:c>
      <x:c r="N60" t="str">
        <x:f>IF(Data!$P60="High",IF(Data!N60="","",Data!N60),"")</x:f>
        <x:v>Review Tax</x:v>
      </x:c>
      <x:c r="O60" s="100" t="n">
        <x:f>IF(Data!$P60="High",Data!O60,"")</x:f>
        <x:v>14</x:v>
      </x:c>
      <x:c r="P60" t="str">
        <x:f>IF(Data!$P60="High",IF(Data!P60="","",Data!P60),"")</x:f>
        <x:v>High</x:v>
      </x:c>
      <x:c r="Q60" t="str">
        <x:f>IF(Data!$P60="High",IF(Data!Q60="","",Data!Q60),"")</x:f>
        <x:v>Missing PO; Tax variance; Overdue</x:v>
      </x:c>
    </x:row>
    <x:row r="61">
      <x:c r="A61" t="str">
        <x:f>IF(Data!$P61="High",IF(Data!A61="","",Data!A61),"")</x:f>
        <x:v>AP-0060</x:v>
      </x:c>
      <x:c r="B61" t="str">
        <x:f>IF(Data!$P61="High",IF(Data!B61="","",Data!B61),"")</x:f>
        <x:v>Vendor 23</x:v>
      </x:c>
      <x:c r="C61" t="str">
        <x:f>IF(Data!$P61="High",IF(Data!C61="","",Data!C61),"")</x:f>
        <x:v>INV-25269</x:v>
      </x:c>
      <x:c r="D61" t="str">
        <x:f>IF(Data!$P61="High",IF(Data!D61="","",Data!D61),"")</x:f>
      </x:c>
      <x:c r="E61" s="123" t="n">
        <x:f>IF(Data!$P61="High",IF(Data!E61="","",Data!E61),"")</x:f>
        <x:v>46165</x:v>
      </x:c>
      <x:c r="F61" s="123" t="n">
        <x:f>IF(Data!$P61="High",IF(Data!F61="","",Data!F61),"")</x:f>
        <x:v>46210</x:v>
      </x:c>
      <x:c r="G61" s="124" t="n">
        <x:f>IF(Data!$P61="High",IF(Data!G61="","",Data!G61),"")</x:f>
        <x:v>7713.57</x:v>
      </x:c>
      <x:c r="H61" s="124" t="n">
        <x:f>IF(Data!$P61="High",IF(Data!H61="","",Data!H61),"")</x:f>
        <x:v>998.88</x:v>
      </x:c>
      <x:c r="I61" s="124" t="n">
        <x:f>IF(Data!$P61="High",IF(Data!I61="","",Data!I61),"")</x:f>
        <x:v>8712.449999999999</x:v>
      </x:c>
      <x:c r="J61" t="str">
        <x:f>IF(Data!$P61="High",IF(Data!J61="","",Data!J61),"")</x:f>
        <x:v>On Hold</x:v>
      </x:c>
      <x:c r="K61" t="str">
        <x:f>IF(Data!$P61="High",IF(Data!K61="","",Data!K61),"")</x:f>
        <x:v>Pending</x:v>
      </x:c>
      <x:c r="L61" t="str">
        <x:f>IF(Data!$P61="High",IF(Data!L61="","",Data!L61),"")</x:f>
        <x:v>Duplicate Risk</x:v>
      </x:c>
      <x:c r="M61" t="str">
        <x:f>IF(Data!$P61="High",IF(Data!M61="","",Data!M61),"")</x:f>
        <x:v>Missing PO</x:v>
      </x:c>
      <x:c r="N61" t="str">
        <x:f>IF(Data!$P61="High",IF(Data!N61="","",Data!N61),"")</x:f>
        <x:v>Review Tax</x:v>
      </x:c>
      <x:c r="O61" s="100" t="n">
        <x:f>IF(Data!$P61="High",Data!O61,"")</x:f>
        <x:v>22</x:v>
      </x:c>
      <x:c r="P61" t="str">
        <x:f>IF(Data!$P61="High",IF(Data!P61="","",Data!P61),"")</x:f>
        <x:v>High</x:v>
      </x:c>
      <x:c r="Q61" t="str">
        <x:f>IF(Data!$P61="High",IF(Data!Q61="","",Data!Q61),"")</x:f>
        <x:v>Duplicate risk; Missing PO; Tax variance; Overdue; Approval issue</x:v>
      </x:c>
    </x:row>
    <x:row r="62">
      <x:c r="A62" t="str">
        <x:f>IF(Data!$P62="High",IF(Data!A62="","",Data!A62),"")</x:f>
        <x:v>AP-0061</x:v>
      </x:c>
      <x:c r="B62" t="str">
        <x:f>IF(Data!$P62="High",IF(Data!B62="","",Data!B62),"")</x:f>
        <x:v>Vendor 8</x:v>
      </x:c>
      <x:c r="C62" t="str">
        <x:f>IF(Data!$P62="High",IF(Data!C62="","",Data!C62),"")</x:f>
        <x:v>INV-26861</x:v>
      </x:c>
      <x:c r="D62" t="str">
        <x:f>IF(Data!$P62="High",IF(Data!D62="","",Data!D62),"")</x:f>
        <x:v>PO-1100</x:v>
      </x:c>
      <x:c r="E62" s="123" t="n">
        <x:f>IF(Data!$P62="High",IF(Data!E62="","",Data!E62),"")</x:f>
        <x:v>46186</x:v>
      </x:c>
      <x:c r="F62" s="123" t="n">
        <x:f>IF(Data!$P62="High",IF(Data!F62="","",Data!F62),"")</x:f>
        <x:v>46216</x:v>
      </x:c>
      <x:c r="G62" s="124" t="n">
        <x:f>IF(Data!$P62="High",IF(Data!G62="","",Data!G62),"")</x:f>
        <x:v>8461.81</x:v>
      </x:c>
      <x:c r="H62" s="124" t="n">
        <x:f>IF(Data!$P62="High",IF(Data!H62="","",Data!H62),"")</x:f>
        <x:v>1100.04</x:v>
      </x:c>
      <x:c r="I62" s="124" t="n">
        <x:f>IF(Data!$P62="High",IF(Data!I62="","",Data!I62),"")</x:f>
        <x:v>9561.849999999999</x:v>
      </x:c>
      <x:c r="J62" t="str">
        <x:f>IF(Data!$P62="High",IF(Data!J62="","",Data!J62),"")</x:f>
        <x:v>Paid</x:v>
      </x:c>
      <x:c r="K62" t="str">
        <x:f>IF(Data!$P62="High",IF(Data!K62="","",Data!K62),"")</x:f>
        <x:v>Pending</x:v>
      </x:c>
      <x:c r="L62" t="str">
        <x:f>IF(Data!$P62="High",IF(Data!L62="","",Data!L62),"")</x:f>
        <x:v>OK</x:v>
      </x:c>
      <x:c r="M62" t="str">
        <x:f>IF(Data!$P62="High",IF(Data!M62="","",Data!M62),"")</x:f>
        <x:v>Matched</x:v>
      </x:c>
      <x:c r="N62" t="str">
        <x:f>IF(Data!$P62="High",IF(Data!N62="","",Data!N62),"")</x:f>
        <x:v>OK</x:v>
      </x:c>
      <x:c r="O62" s="100" t="n">
        <x:f>IF(Data!$P62="High",Data!O62,"")</x:f>
        <x:v>0</x:v>
      </x:c>
      <x:c r="P62" t="str">
        <x:f>IF(Data!$P62="High",IF(Data!P62="","",Data!P62),"")</x:f>
        <x:v>High</x:v>
      </x:c>
      <x:c r="Q62" t="str">
        <x:f>IF(Data!$P62="High",IF(Data!Q62="","",Data!Q62),"")</x:f>
        <x:v>Approval issue</x:v>
      </x:c>
    </x:row>
    <x:row r="63">
      <x:c r="A63" t="str">
        <x:f>IF(Data!$P63="High",IF(Data!A63="","",Data!A63),"")</x:f>
        <x:v>AP-0062</x:v>
      </x:c>
      <x:c r="B63" t="str">
        <x:f>IF(Data!$P63="High",IF(Data!B63="","",Data!B63),"")</x:f>
        <x:v>Vendor 19</x:v>
      </x:c>
      <x:c r="C63" t="str">
        <x:f>IF(Data!$P63="High",IF(Data!C63="","",Data!C63),"")</x:f>
        <x:v>INV-32885</x:v>
      </x:c>
      <x:c r="D63" t="str">
        <x:f>IF(Data!$P63="High",IF(Data!D63="","",Data!D63),"")</x:f>
      </x:c>
      <x:c r="E63" s="123" t="n">
        <x:f>IF(Data!$P63="High",IF(Data!E63="","",Data!E63),"")</x:f>
        <x:v>46159</x:v>
      </x:c>
      <x:c r="F63" s="123" t="n">
        <x:f>IF(Data!$P63="High",IF(Data!F63="","",Data!F63),"")</x:f>
        <x:v>46174</x:v>
      </x:c>
      <x:c r="G63" s="124" t="n">
        <x:f>IF(Data!$P63="High",IF(Data!G63="","",Data!G63),"")</x:f>
        <x:v>8353.97</x:v>
      </x:c>
      <x:c r="H63" s="124" t="n">
        <x:f>IF(Data!$P63="High",IF(Data!H63="","",Data!H63),"")</x:f>
        <x:v>1089.55</x:v>
      </x:c>
      <x:c r="I63" s="124" t="n">
        <x:f>IF(Data!$P63="High",IF(Data!I63="","",Data!I63),"")</x:f>
        <x:v>9443.519999999999</x:v>
      </x:c>
      <x:c r="J63" t="str">
        <x:f>IF(Data!$P63="High",IF(Data!J63="","",Data!J63),"")</x:f>
        <x:v>On Hold</x:v>
      </x:c>
      <x:c r="K63" t="str">
        <x:f>IF(Data!$P63="High",IF(Data!K63="","",Data!K63),"")</x:f>
        <x:v>Pending</x:v>
      </x:c>
      <x:c r="L63" t="str">
        <x:f>IF(Data!$P63="High",IF(Data!L63="","",Data!L63),"")</x:f>
        <x:v>OK</x:v>
      </x:c>
      <x:c r="M63" t="str">
        <x:f>IF(Data!$P63="High",IF(Data!M63="","",Data!M63),"")</x:f>
        <x:v>Missing PO</x:v>
      </x:c>
      <x:c r="N63" t="str">
        <x:f>IF(Data!$P63="High",IF(Data!N63="","",Data!N63),"")</x:f>
        <x:v>Review Tax</x:v>
      </x:c>
      <x:c r="O63" s="100" t="n">
        <x:f>IF(Data!$P63="High",Data!O63,"")</x:f>
        <x:v>58</x:v>
      </x:c>
      <x:c r="P63" t="str">
        <x:f>IF(Data!$P63="High",IF(Data!P63="","",Data!P63),"")</x:f>
        <x:v>High</x:v>
      </x:c>
      <x:c r="Q63" t="str">
        <x:f>IF(Data!$P63="High",IF(Data!Q63="","",Data!Q63),"")</x:f>
        <x:v>Missing PO; Tax variance; Overdue; Approval issue</x:v>
      </x:c>
    </x:row>
    <x:row r="64">
      <x:c r="A64" t="str">
        <x:f>IF(Data!$P64="High",IF(Data!A64="","",Data!A64),"")</x:f>
        <x:v>AP-0063</x:v>
      </x:c>
      <x:c r="B64" t="str">
        <x:f>IF(Data!$P64="High",IF(Data!B64="","",Data!B64),"")</x:f>
        <x:v>Vendor 8</x:v>
      </x:c>
      <x:c r="C64" t="str">
        <x:f>IF(Data!$P64="High",IF(Data!C64="","",Data!C64),"")</x:f>
        <x:v>INV-46332</x:v>
      </x:c>
      <x:c r="D64" t="str">
        <x:f>IF(Data!$P64="High",IF(Data!D64="","",Data!D64),"")</x:f>
      </x:c>
      <x:c r="E64" s="123" t="n">
        <x:f>IF(Data!$P64="High",IF(Data!E64="","",Data!E64),"")</x:f>
        <x:v>46155</x:v>
      </x:c>
      <x:c r="F64" s="123" t="n">
        <x:f>IF(Data!$P64="High",IF(Data!F64="","",Data!F64),"")</x:f>
        <x:v>46185</x:v>
      </x:c>
      <x:c r="G64" s="124" t="n">
        <x:f>IF(Data!$P64="High",IF(Data!G64="","",Data!G64),"")</x:f>
        <x:v>6473.33</x:v>
      </x:c>
      <x:c r="H64" s="124" t="n">
        <x:f>IF(Data!$P64="High",IF(Data!H64="","",Data!H64),"")</x:f>
        <x:v>848.78</x:v>
      </x:c>
      <x:c r="I64" s="124" t="n">
        <x:f>IF(Data!$P64="High",IF(Data!I64="","",Data!I64),"")</x:f>
        <x:v>7322.11</x:v>
      </x:c>
      <x:c r="J64" t="str">
        <x:f>IF(Data!$P64="High",IF(Data!J64="","",Data!J64),"")</x:f>
        <x:v>Unpaid</x:v>
      </x:c>
      <x:c r="K64" t="str">
        <x:f>IF(Data!$P64="High",IF(Data!K64="","",Data!K64),"")</x:f>
        <x:v>Rejected</x:v>
      </x:c>
      <x:c r="L64" t="str">
        <x:f>IF(Data!$P64="High",IF(Data!L64="","",Data!L64),"")</x:f>
        <x:v>OK</x:v>
      </x:c>
      <x:c r="M64" t="str">
        <x:f>IF(Data!$P64="High",IF(Data!M64="","",Data!M64),"")</x:f>
        <x:v>Missing PO</x:v>
      </x:c>
      <x:c r="N64" t="str">
        <x:f>IF(Data!$P64="High",IF(Data!N64="","",Data!N64),"")</x:f>
        <x:v>Review Tax</x:v>
      </x:c>
      <x:c r="O64" s="100" t="n">
        <x:f>IF(Data!$P64="High",Data!O64,"")</x:f>
        <x:v>47</x:v>
      </x:c>
      <x:c r="P64" t="str">
        <x:f>IF(Data!$P64="High",IF(Data!P64="","",Data!P64),"")</x:f>
        <x:v>High</x:v>
      </x:c>
      <x:c r="Q64" t="str">
        <x:f>IF(Data!$P64="High",IF(Data!Q64="","",Data!Q64),"")</x:f>
        <x:v>Missing PO; Tax variance; Overdue; Approval issue</x:v>
      </x:c>
    </x:row>
    <x:row r="65">
      <x:c r="A65" t="str">
        <x:f>IF(Data!$P65="High",IF(Data!A65="","",Data!A65),"")</x:f>
        <x:v>AP-0064</x:v>
      </x:c>
      <x:c r="B65" t="str">
        <x:f>IF(Data!$P65="High",IF(Data!B65="","",Data!B65),"")</x:f>
        <x:v>Vendor 5</x:v>
      </x:c>
      <x:c r="C65" t="str">
        <x:f>IF(Data!$P65="High",IF(Data!C65="","",Data!C65),"")</x:f>
        <x:v>INV-39905</x:v>
      </x:c>
      <x:c r="D65" t="str">
        <x:f>IF(Data!$P65="High",IF(Data!D65="","",Data!D65),"")</x:f>
      </x:c>
      <x:c r="E65" s="123" t="n">
        <x:f>IF(Data!$P65="High",IF(Data!E65="","",Data!E65),"")</x:f>
        <x:v>46154</x:v>
      </x:c>
      <x:c r="F65" s="123" t="n">
        <x:f>IF(Data!$P65="High",IF(Data!F65="","",Data!F65),"")</x:f>
        <x:v>46199</x:v>
      </x:c>
      <x:c r="G65" s="124" t="n">
        <x:f>IF(Data!$P65="High",IF(Data!G65="","",Data!G65),"")</x:f>
        <x:v>2653.51</x:v>
      </x:c>
      <x:c r="H65" s="124" t="n">
        <x:f>IF(Data!$P65="High",IF(Data!H65="","",Data!H65),"")</x:f>
        <x:v>344.96</x:v>
      </x:c>
      <x:c r="I65" s="124" t="n">
        <x:f>IF(Data!$P65="High",IF(Data!I65="","",Data!I65),"")</x:f>
        <x:v>2998.4700000000003</x:v>
      </x:c>
      <x:c r="J65" t="str">
        <x:f>IF(Data!$P65="High",IF(Data!J65="","",Data!J65),"")</x:f>
        <x:v>Paid</x:v>
      </x:c>
      <x:c r="K65" t="str">
        <x:f>IF(Data!$P65="High",IF(Data!K65="","",Data!K65),"")</x:f>
        <x:v>Approved</x:v>
      </x:c>
      <x:c r="L65" t="str">
        <x:f>IF(Data!$P65="High",IF(Data!L65="","",Data!L65),"")</x:f>
        <x:v>OK</x:v>
      </x:c>
      <x:c r="M65" t="str">
        <x:f>IF(Data!$P65="High",IF(Data!M65="","",Data!M65),"")</x:f>
        <x:v>Missing PO</x:v>
      </x:c>
      <x:c r="N65" t="str">
        <x:f>IF(Data!$P65="High",IF(Data!N65="","",Data!N65),"")</x:f>
        <x:v>OK</x:v>
      </x:c>
      <x:c r="O65" s="100" t="n">
        <x:f>IF(Data!$P65="High",Data!O65,"")</x:f>
        <x:v>0</x:v>
      </x:c>
      <x:c r="P65" t="str">
        <x:f>IF(Data!$P65="High",IF(Data!P65="","",Data!P65),"")</x:f>
        <x:v>High</x:v>
      </x:c>
      <x:c r="Q65" t="str">
        <x:f>IF(Data!$P65="High",IF(Data!Q65="","",Data!Q65),"")</x:f>
        <x:v>Missing PO</x:v>
      </x:c>
    </x:row>
    <x:row r="66">
      <x:c r="A66" t="str">
        <x:f>IF(Data!$P66="High",IF(Data!A66="","",Data!A66),"")</x:f>
        <x:v>AP-0065</x:v>
      </x:c>
      <x:c r="B66" t="str">
        <x:f>IF(Data!$P66="High",IF(Data!B66="","",Data!B66),"")</x:f>
        <x:v>Vendor 28</x:v>
      </x:c>
      <x:c r="C66" t="str">
        <x:f>IF(Data!$P66="High",IF(Data!C66="","",Data!C66),"")</x:f>
        <x:v>INV-41375</x:v>
      </x:c>
      <x:c r="D66" t="str">
        <x:f>IF(Data!$P66="High",IF(Data!D66="","",Data!D66),"")</x:f>
      </x:c>
      <x:c r="E66" s="123" t="n">
        <x:f>IF(Data!$P66="High",IF(Data!E66="","",Data!E66),"")</x:f>
        <x:v>46194</x:v>
      </x:c>
      <x:c r="F66" s="123" t="n">
        <x:f>IF(Data!$P66="High",IF(Data!F66="","",Data!F66),"")</x:f>
        <x:v>46239</x:v>
      </x:c>
      <x:c r="G66" s="124" t="n">
        <x:f>IF(Data!$P66="High",IF(Data!G66="","",Data!G66),"")</x:f>
        <x:v>9505.12</x:v>
      </x:c>
      <x:c r="H66" s="124" t="n">
        <x:f>IF(Data!$P66="High",IF(Data!H66="","",Data!H66),"")</x:f>
        <x:v>1235.67</x:v>
      </x:c>
      <x:c r="I66" s="124" t="n">
        <x:f>IF(Data!$P66="High",IF(Data!I66="","",Data!I66),"")</x:f>
        <x:v>10740.79</x:v>
      </x:c>
      <x:c r="J66" t="str">
        <x:f>IF(Data!$P66="High",IF(Data!J66="","",Data!J66),"")</x:f>
        <x:v>Unpaid</x:v>
      </x:c>
      <x:c r="K66" t="str">
        <x:f>IF(Data!$P66="High",IF(Data!K66="","",Data!K66),"")</x:f>
        <x:v>Approved</x:v>
      </x:c>
      <x:c r="L66" t="str">
        <x:f>IF(Data!$P66="High",IF(Data!L66="","",Data!L66),"")</x:f>
        <x:v>Duplicate Risk</x:v>
      </x:c>
      <x:c r="M66" t="str">
        <x:f>IF(Data!$P66="High",IF(Data!M66="","",Data!M66),"")</x:f>
        <x:v>Missing PO</x:v>
      </x:c>
      <x:c r="N66" t="str">
        <x:f>IF(Data!$P66="High",IF(Data!N66="","",Data!N66),"")</x:f>
        <x:v>OK</x:v>
      </x:c>
      <x:c r="O66" s="100" t="n">
        <x:f>IF(Data!$P66="High",Data!O66,"")</x:f>
        <x:v>0</x:v>
      </x:c>
      <x:c r="P66" t="str">
        <x:f>IF(Data!$P66="High",IF(Data!P66="","",Data!P66),"")</x:f>
        <x:v>High</x:v>
      </x:c>
      <x:c r="Q66" t="str">
        <x:f>IF(Data!$P66="High",IF(Data!Q66="","",Data!Q66),"")</x:f>
        <x:v>Duplicate risk; Missing PO</x:v>
      </x:c>
    </x:row>
    <x:row r="67">
      <x:c r="A67" t="str">
        <x:f>IF(Data!$P67="High",IF(Data!A67="","",Data!A67),"")</x:f>
        <x:v>AP-0066</x:v>
      </x:c>
      <x:c r="B67" t="str">
        <x:f>IF(Data!$P67="High",IF(Data!B67="","",Data!B67),"")</x:f>
        <x:v>Vendor 6</x:v>
      </x:c>
      <x:c r="C67" t="str">
        <x:f>IF(Data!$P67="High",IF(Data!C67="","",Data!C67),"")</x:f>
        <x:v>INV-44936</x:v>
      </x:c>
      <x:c r="D67" t="str">
        <x:f>IF(Data!$P67="High",IF(Data!D67="","",Data!D67),"")</x:f>
        <x:v>PO-1051</x:v>
      </x:c>
      <x:c r="E67" s="123" t="n">
        <x:f>IF(Data!$P67="High",IF(Data!E67="","",Data!E67),"")</x:f>
        <x:v>46198</x:v>
      </x:c>
      <x:c r="F67" s="123" t="n">
        <x:f>IF(Data!$P67="High",IF(Data!F67="","",Data!F67),"")</x:f>
        <x:v>46243</x:v>
      </x:c>
      <x:c r="G67" s="124" t="n">
        <x:f>IF(Data!$P67="High",IF(Data!G67="","",Data!G67),"")</x:f>
        <x:v>2291.5</x:v>
      </x:c>
      <x:c r="H67" s="124" t="n">
        <x:f>IF(Data!$P67="High",IF(Data!H67="","",Data!H67),"")</x:f>
        <x:v>297.89</x:v>
      </x:c>
      <x:c r="I67" s="124" t="n">
        <x:f>IF(Data!$P67="High",IF(Data!I67="","",Data!I67),"")</x:f>
        <x:v>2589.39</x:v>
      </x:c>
      <x:c r="J67" t="str">
        <x:f>IF(Data!$P67="High",IF(Data!J67="","",Data!J67),"")</x:f>
        <x:v>Unpaid</x:v>
      </x:c>
      <x:c r="K67" t="str">
        <x:f>IF(Data!$P67="High",IF(Data!K67="","",Data!K67),"")</x:f>
        <x:v>Pending</x:v>
      </x:c>
      <x:c r="L67" t="str">
        <x:f>IF(Data!$P67="High",IF(Data!L67="","",Data!L67),"")</x:f>
        <x:v>OK</x:v>
      </x:c>
      <x:c r="M67" t="str">
        <x:f>IF(Data!$P67="High",IF(Data!M67="","",Data!M67),"")</x:f>
        <x:v>Matched</x:v>
      </x:c>
      <x:c r="N67" t="str">
        <x:f>IF(Data!$P67="High",IF(Data!N67="","",Data!N67),"")</x:f>
        <x:v>OK</x:v>
      </x:c>
      <x:c r="O67" s="100" t="n">
        <x:f>IF(Data!$P67="High",Data!O67,"")</x:f>
        <x:v>0</x:v>
      </x:c>
      <x:c r="P67" t="str">
        <x:f>IF(Data!$P67="High",IF(Data!P67="","",Data!P67),"")</x:f>
        <x:v>High</x:v>
      </x:c>
      <x:c r="Q67" t="str">
        <x:f>IF(Data!$P67="High",IF(Data!Q67="","",Data!Q67),"")</x:f>
        <x:v>Approval issue</x:v>
      </x:c>
    </x:row>
    <x:row r="68">
      <x:c r="A68" t="str">
        <x:f>IF(Data!$P68="High",IF(Data!A68="","",Data!A68),"")</x:f>
      </x:c>
      <x:c r="B68" t="str">
        <x:f>IF(Data!$P68="High",IF(Data!B68="","",Data!B68),"")</x:f>
      </x:c>
      <x:c r="C68" t="str">
        <x:f>IF(Data!$P68="High",IF(Data!C68="","",Data!C68),"")</x:f>
      </x:c>
      <x:c r="D68" t="str">
        <x:f>IF(Data!$P68="High",IF(Data!D68="","",Data!D68),"")</x:f>
      </x:c>
      <x:c r="E68" s="123" t="str">
        <x:f>IF(Data!$P68="High",IF(Data!E68="","",Data!E68),"")</x:f>
      </x:c>
      <x:c r="F68" s="123" t="str">
        <x:f>IF(Data!$P68="High",IF(Data!F68="","",Data!F68),"")</x:f>
      </x:c>
      <x:c r="G68" s="124" t="str">
        <x:f>IF(Data!$P68="High",IF(Data!G68="","",Data!G68),"")</x:f>
      </x:c>
      <x:c r="H68" s="124" t="str">
        <x:f>IF(Data!$P68="High",IF(Data!H68="","",Data!H68),"")</x:f>
      </x:c>
      <x:c r="I68" s="124" t="str">
        <x:f>IF(Data!$P68="High",IF(Data!I68="","",Data!I68),"")</x:f>
      </x:c>
      <x:c r="J68" t="str">
        <x:f>IF(Data!$P68="High",IF(Data!J68="","",Data!J68),"")</x:f>
      </x:c>
      <x:c r="K68" t="str">
        <x:f>IF(Data!$P68="High",IF(Data!K68="","",Data!K68),"")</x:f>
      </x:c>
      <x:c r="L68" t="str">
        <x:f>IF(Data!$P68="High",IF(Data!L68="","",Data!L68),"")</x:f>
      </x:c>
      <x:c r="M68" t="str">
        <x:f>IF(Data!$P68="High",IF(Data!M68="","",Data!M68),"")</x:f>
      </x:c>
      <x:c r="N68" t="str">
        <x:f>IF(Data!$P68="High",IF(Data!N68="","",Data!N68),"")</x:f>
      </x:c>
      <x:c r="O68" s="100" t="str">
        <x:f>IF(Data!$P68="High",Data!O68,"")</x:f>
      </x:c>
      <x:c r="P68" t="str">
        <x:f>IF(Data!$P68="High",IF(Data!P68="","",Data!P68),"")</x:f>
      </x:c>
      <x:c r="Q68" t="str">
        <x:f>IF(Data!$P68="High",IF(Data!Q68="","",Data!Q68),"")</x:f>
      </x:c>
    </x:row>
    <x:row r="69">
      <x:c r="A69" t="str">
        <x:f>IF(Data!$P69="High",IF(Data!A69="","",Data!A69),"")</x:f>
        <x:v>AP-0068</x:v>
      </x:c>
      <x:c r="B69" t="str">
        <x:f>IF(Data!$P69="High",IF(Data!B69="","",Data!B69),"")</x:f>
        <x:v>Vendor 11</x:v>
      </x:c>
      <x:c r="C69" t="str">
        <x:f>IF(Data!$P69="High",IF(Data!C69="","",Data!C69),"")</x:f>
        <x:v>INV-39323</x:v>
      </x:c>
      <x:c r="D69" t="str">
        <x:f>IF(Data!$P69="High",IF(Data!D69="","",Data!D69),"")</x:f>
        <x:v>PO-1098</x:v>
      </x:c>
      <x:c r="E69" s="123" t="n">
        <x:f>IF(Data!$P69="High",IF(Data!E69="","",Data!E69),"")</x:f>
        <x:v>46155</x:v>
      </x:c>
      <x:c r="F69" s="123" t="n">
        <x:f>IF(Data!$P69="High",IF(Data!F69="","",Data!F69),"")</x:f>
        <x:v>46200</x:v>
      </x:c>
      <x:c r="G69" s="124" t="n">
        <x:f>IF(Data!$P69="High",IF(Data!G69="","",Data!G69),"")</x:f>
        <x:v>4229.2</x:v>
      </x:c>
      <x:c r="H69" s="124" t="n">
        <x:f>IF(Data!$P69="High",IF(Data!H69="","",Data!H69),"")</x:f>
        <x:v>549.8</x:v>
      </x:c>
      <x:c r="I69" s="124" t="n">
        <x:f>IF(Data!$P69="High",IF(Data!I69="","",Data!I69),"")</x:f>
        <x:v>4779</x:v>
      </x:c>
      <x:c r="J69" t="str">
        <x:f>IF(Data!$P69="High",IF(Data!J69="","",Data!J69),"")</x:f>
        <x:v>On Hold</x:v>
      </x:c>
      <x:c r="K69" t="str">
        <x:f>IF(Data!$P69="High",IF(Data!K69="","",Data!K69),"")</x:f>
        <x:v>Pending</x:v>
      </x:c>
      <x:c r="L69" t="str">
        <x:f>IF(Data!$P69="High",IF(Data!L69="","",Data!L69),"")</x:f>
        <x:v>OK</x:v>
      </x:c>
      <x:c r="M69" t="str">
        <x:f>IF(Data!$P69="High",IF(Data!M69="","",Data!M69),"")</x:f>
        <x:v>Matched</x:v>
      </x:c>
      <x:c r="N69" t="str">
        <x:f>IF(Data!$P69="High",IF(Data!N69="","",Data!N69),"")</x:f>
        <x:v>OK</x:v>
      </x:c>
      <x:c r="O69" s="100" t="n">
        <x:f>IF(Data!$P69="High",Data!O69,"")</x:f>
        <x:v>32</x:v>
      </x:c>
      <x:c r="P69" t="str">
        <x:f>IF(Data!$P69="High",IF(Data!P69="","",Data!P69),"")</x:f>
        <x:v>High</x:v>
      </x:c>
      <x:c r="Q69" t="str">
        <x:f>IF(Data!$P69="High",IF(Data!Q69="","",Data!Q69),"")</x:f>
        <x:v>Overdue; Approval issue</x:v>
      </x:c>
    </x:row>
    <x:row r="70">
      <x:c r="A70" t="str">
        <x:f>IF(Data!$P70="High",IF(Data!A70="","",Data!A70),"")</x:f>
        <x:v>AP-0069</x:v>
      </x:c>
      <x:c r="B70" t="str">
        <x:f>IF(Data!$P70="High",IF(Data!B70="","",Data!B70),"")</x:f>
        <x:v>Vendor 8</x:v>
      </x:c>
      <x:c r="C70" t="str">
        <x:f>IF(Data!$P70="High",IF(Data!C70="","",Data!C70),"")</x:f>
        <x:v>INV-21056</x:v>
      </x:c>
      <x:c r="D70" t="str">
        <x:f>IF(Data!$P70="High",IF(Data!D70="","",Data!D70),"")</x:f>
      </x:c>
      <x:c r="E70" s="123" t="n">
        <x:f>IF(Data!$P70="High",IF(Data!E70="","",Data!E70),"")</x:f>
        <x:v>46151</x:v>
      </x:c>
      <x:c r="F70" s="123" t="n">
        <x:f>IF(Data!$P70="High",IF(Data!F70="","",Data!F70),"")</x:f>
        <x:v>46166</x:v>
      </x:c>
      <x:c r="G70" s="124" t="n">
        <x:f>IF(Data!$P70="High",IF(Data!G70="","",Data!G70),"")</x:f>
        <x:v>7658.63</x:v>
      </x:c>
      <x:c r="H70" s="124" t="n">
        <x:f>IF(Data!$P70="High",IF(Data!H70="","",Data!H70),"")</x:f>
        <x:v>995.62</x:v>
      </x:c>
      <x:c r="I70" s="124" t="n">
        <x:f>IF(Data!$P70="High",IF(Data!I70="","",Data!I70),"")</x:f>
        <x:v>8654.25</x:v>
      </x:c>
      <x:c r="J70" t="str">
        <x:f>IF(Data!$P70="High",IF(Data!J70="","",Data!J70),"")</x:f>
        <x:v>Unpaid</x:v>
      </x:c>
      <x:c r="K70" t="str">
        <x:f>IF(Data!$P70="High",IF(Data!K70="","",Data!K70),"")</x:f>
        <x:v>Rejected</x:v>
      </x:c>
      <x:c r="L70" t="str">
        <x:f>IF(Data!$P70="High",IF(Data!L70="","",Data!L70),"")</x:f>
        <x:v>OK</x:v>
      </x:c>
      <x:c r="M70" t="str">
        <x:f>IF(Data!$P70="High",IF(Data!M70="","",Data!M70),"")</x:f>
        <x:v>Missing PO</x:v>
      </x:c>
      <x:c r="N70" t="str">
        <x:f>IF(Data!$P70="High",IF(Data!N70="","",Data!N70),"")</x:f>
        <x:v>OK</x:v>
      </x:c>
      <x:c r="O70" s="100" t="n">
        <x:f>IF(Data!$P70="High",Data!O70,"")</x:f>
        <x:v>66</x:v>
      </x:c>
      <x:c r="P70" t="str">
        <x:f>IF(Data!$P70="High",IF(Data!P70="","",Data!P70),"")</x:f>
        <x:v>High</x:v>
      </x:c>
      <x:c r="Q70" t="str">
        <x:f>IF(Data!$P70="High",IF(Data!Q70="","",Data!Q70),"")</x:f>
        <x:v>Missing PO; Overdue; Approval issue</x:v>
      </x:c>
    </x:row>
    <x:row r="71">
      <x:c r="A71" t="str">
        <x:f>IF(Data!$P71="High",IF(Data!A71="","",Data!A71),"")</x:f>
        <x:v>AP-0070</x:v>
      </x:c>
      <x:c r="B71" t="str">
        <x:f>IF(Data!$P71="High",IF(Data!B71="","",Data!B71),"")</x:f>
        <x:v>Vendor 12</x:v>
      </x:c>
      <x:c r="C71" t="str">
        <x:f>IF(Data!$P71="High",IF(Data!C71="","",Data!C71),"")</x:f>
        <x:v>INV-45074</x:v>
      </x:c>
      <x:c r="D71" t="str">
        <x:f>IF(Data!$P71="High",IF(Data!D71="","",Data!D71),"")</x:f>
      </x:c>
      <x:c r="E71" s="123" t="n">
        <x:f>IF(Data!$P71="High",IF(Data!E71="","",Data!E71),"")</x:f>
        <x:v>46151</x:v>
      </x:c>
      <x:c r="F71" s="123" t="n">
        <x:f>IF(Data!$P71="High",IF(Data!F71="","",Data!F71),"")</x:f>
        <x:v>46181</x:v>
      </x:c>
      <x:c r="G71" s="124" t="n">
        <x:f>IF(Data!$P71="High",IF(Data!G71="","",Data!G71),"")</x:f>
        <x:v>4756.22</x:v>
      </x:c>
      <x:c r="H71" s="124" t="n">
        <x:f>IF(Data!$P71="High",IF(Data!H71="","",Data!H71),"")</x:f>
        <x:v>616.26</x:v>
      </x:c>
      <x:c r="I71" s="124" t="n">
        <x:f>IF(Data!$P71="High",IF(Data!I71="","",Data!I71),"")</x:f>
        <x:v>5372.4800000000005</x:v>
      </x:c>
      <x:c r="J71" t="str">
        <x:f>IF(Data!$P71="High",IF(Data!J71="","",Data!J71),"")</x:f>
        <x:v>Paid</x:v>
      </x:c>
      <x:c r="K71" t="str">
        <x:f>IF(Data!$P71="High",IF(Data!K71="","",Data!K71),"")</x:f>
        <x:v>Pending</x:v>
      </x:c>
      <x:c r="L71" t="str">
        <x:f>IF(Data!$P71="High",IF(Data!L71="","",Data!L71),"")</x:f>
        <x:v>OK</x:v>
      </x:c>
      <x:c r="M71" t="str">
        <x:f>IF(Data!$P71="High",IF(Data!M71="","",Data!M71),"")</x:f>
        <x:v>Missing PO</x:v>
      </x:c>
      <x:c r="N71" t="str">
        <x:f>IF(Data!$P71="High",IF(Data!N71="","",Data!N71),"")</x:f>
        <x:v>Review Tax</x:v>
      </x:c>
      <x:c r="O71" s="100" t="n">
        <x:f>IF(Data!$P71="High",Data!O71,"")</x:f>
        <x:v>0</x:v>
      </x:c>
      <x:c r="P71" t="str">
        <x:f>IF(Data!$P71="High",IF(Data!P71="","",Data!P71),"")</x:f>
        <x:v>High</x:v>
      </x:c>
      <x:c r="Q71" t="str">
        <x:f>IF(Data!$P71="High",IF(Data!Q71="","",Data!Q71),"")</x:f>
        <x:v>Missing PO; Tax variance; Approval issue</x:v>
      </x:c>
    </x:row>
    <x:row r="72">
      <x:c r="A72" t="str">
        <x:f>IF(Data!$P72="High",IF(Data!A72="","",Data!A72),"")</x:f>
        <x:v>AP-0071</x:v>
      </x:c>
      <x:c r="B72" t="str">
        <x:f>IF(Data!$P72="High",IF(Data!B72="","",Data!B72),"")</x:f>
        <x:v>Vendor 27</x:v>
      </x:c>
      <x:c r="C72" t="str">
        <x:f>IF(Data!$P72="High",IF(Data!C72="","",Data!C72),"")</x:f>
        <x:v>INV-20281</x:v>
      </x:c>
      <x:c r="D72" t="str">
        <x:f>IF(Data!$P72="High",IF(Data!D72="","",Data!D72),"")</x:f>
      </x:c>
      <x:c r="E72" s="123" t="n">
        <x:f>IF(Data!$P72="High",IF(Data!E72="","",Data!E72),"")</x:f>
        <x:v>46151</x:v>
      </x:c>
      <x:c r="F72" s="123" t="n">
        <x:f>IF(Data!$P72="High",IF(Data!F72="","",Data!F72),"")</x:f>
        <x:v>46181</x:v>
      </x:c>
      <x:c r="G72" s="124" t="n">
        <x:f>IF(Data!$P72="High",IF(Data!G72="","",Data!G72),"")</x:f>
        <x:v>7541.52</x:v>
      </x:c>
      <x:c r="H72" s="124" t="n">
        <x:f>IF(Data!$P72="High",IF(Data!H72="","",Data!H72),"")</x:f>
        <x:v>980.4</x:v>
      </x:c>
      <x:c r="I72" s="124" t="n">
        <x:f>IF(Data!$P72="High",IF(Data!I72="","",Data!I72),"")</x:f>
        <x:v>8521.92</x:v>
      </x:c>
      <x:c r="J72" t="str">
        <x:f>IF(Data!$P72="High",IF(Data!J72="","",Data!J72),"")</x:f>
        <x:v>Unpaid</x:v>
      </x:c>
      <x:c r="K72" t="str">
        <x:f>IF(Data!$P72="High",IF(Data!K72="","",Data!K72),"")</x:f>
        <x:v>Rejected</x:v>
      </x:c>
      <x:c r="L72" t="str">
        <x:f>IF(Data!$P72="High",IF(Data!L72="","",Data!L72),"")</x:f>
        <x:v>OK</x:v>
      </x:c>
      <x:c r="M72" t="str">
        <x:f>IF(Data!$P72="High",IF(Data!M72="","",Data!M72),"")</x:f>
        <x:v>Missing PO</x:v>
      </x:c>
      <x:c r="N72" t="str">
        <x:f>IF(Data!$P72="High",IF(Data!N72="","",Data!N72),"")</x:f>
        <x:v>OK</x:v>
      </x:c>
      <x:c r="O72" s="100" t="n">
        <x:f>IF(Data!$P72="High",Data!O72,"")</x:f>
        <x:v>51</x:v>
      </x:c>
      <x:c r="P72" t="str">
        <x:f>IF(Data!$P72="High",IF(Data!P72="","",Data!P72),"")</x:f>
        <x:v>High</x:v>
      </x:c>
      <x:c r="Q72" t="str">
        <x:f>IF(Data!$P72="High",IF(Data!Q72="","",Data!Q72),"")</x:f>
        <x:v>Missing PO; Overdue; Approval issue</x:v>
      </x:c>
    </x:row>
    <x:row r="73">
      <x:c r="A73" t="str">
        <x:f>IF(Data!$P73="High",IF(Data!A73="","",Data!A73),"")</x:f>
        <x:v>AP-0072</x:v>
      </x:c>
      <x:c r="B73" t="str">
        <x:f>IF(Data!$P73="High",IF(Data!B73="","",Data!B73),"")</x:f>
        <x:v>Vendor 1</x:v>
      </x:c>
      <x:c r="C73" t="str">
        <x:f>IF(Data!$P73="High",IF(Data!C73="","",Data!C73),"")</x:f>
        <x:v>INV-47332</x:v>
      </x:c>
      <x:c r="D73" t="str">
        <x:f>IF(Data!$P73="High",IF(Data!D73="","",Data!D73),"")</x:f>
      </x:c>
      <x:c r="E73" s="123" t="n">
        <x:f>IF(Data!$P73="High",IF(Data!E73="","",Data!E73),"")</x:f>
        <x:v>46167</x:v>
      </x:c>
      <x:c r="F73" s="123" t="n">
        <x:f>IF(Data!$P73="High",IF(Data!F73="","",Data!F73),"")</x:f>
        <x:v>46197</x:v>
      </x:c>
      <x:c r="G73" s="124" t="n">
        <x:f>IF(Data!$P73="High",IF(Data!G73="","",Data!G73),"")</x:f>
        <x:v>1660.3</x:v>
      </x:c>
      <x:c r="H73" s="124" t="n">
        <x:f>IF(Data!$P73="High",IF(Data!H73="","",Data!H73),"")</x:f>
        <x:v>215.84</x:v>
      </x:c>
      <x:c r="I73" s="124" t="n">
        <x:f>IF(Data!$P73="High",IF(Data!I73="","",Data!I73),"")</x:f>
        <x:v>1876.1399999999999</x:v>
      </x:c>
      <x:c r="J73" t="str">
        <x:f>IF(Data!$P73="High",IF(Data!J73="","",Data!J73),"")</x:f>
        <x:v>On Hold</x:v>
      </x:c>
      <x:c r="K73" t="str">
        <x:f>IF(Data!$P73="High",IF(Data!K73="","",Data!K73),"")</x:f>
        <x:v>Rejected</x:v>
      </x:c>
      <x:c r="L73" t="str">
        <x:f>IF(Data!$P73="High",IF(Data!L73="","",Data!L73),"")</x:f>
        <x:v>OK</x:v>
      </x:c>
      <x:c r="M73" t="str">
        <x:f>IF(Data!$P73="High",IF(Data!M73="","",Data!M73),"")</x:f>
        <x:v>Missing PO</x:v>
      </x:c>
      <x:c r="N73" t="str">
        <x:f>IF(Data!$P73="High",IF(Data!N73="","",Data!N73),"")</x:f>
        <x:v>OK</x:v>
      </x:c>
      <x:c r="O73" s="100" t="n">
        <x:f>IF(Data!$P73="High",Data!O73,"")</x:f>
        <x:v>35</x:v>
      </x:c>
      <x:c r="P73" t="str">
        <x:f>IF(Data!$P73="High",IF(Data!P73="","",Data!P73),"")</x:f>
        <x:v>High</x:v>
      </x:c>
      <x:c r="Q73" t="str">
        <x:f>IF(Data!$P73="High",IF(Data!Q73="","",Data!Q73),"")</x:f>
        <x:v>Missing PO; Overdue; Approval issue</x:v>
      </x:c>
    </x:row>
    <x:row r="74">
      <x:c r="A74" t="str">
        <x:f>IF(Data!$P74="High",IF(Data!A74="","",Data!A74),"")</x:f>
        <x:v>AP-0073</x:v>
      </x:c>
      <x:c r="B74" t="str">
        <x:f>IF(Data!$P74="High",IF(Data!B74="","",Data!B74),"")</x:f>
        <x:v>Vendor 25</x:v>
      </x:c>
      <x:c r="C74" t="str">
        <x:f>IF(Data!$P74="High",IF(Data!C74="","",Data!C74),"")</x:f>
        <x:v>INV-26450</x:v>
      </x:c>
      <x:c r="D74" t="str">
        <x:f>IF(Data!$P74="High",IF(Data!D74="","",Data!D74),"")</x:f>
      </x:c>
      <x:c r="E74" s="123" t="n">
        <x:f>IF(Data!$P74="High",IF(Data!E74="","",Data!E74),"")</x:f>
        <x:v>46194</x:v>
      </x:c>
      <x:c r="F74" s="123" t="n">
        <x:f>IF(Data!$P74="High",IF(Data!F74="","",Data!F74),"")</x:f>
        <x:v>46224</x:v>
      </x:c>
      <x:c r="G74" s="124" t="n">
        <x:f>IF(Data!$P74="High",IF(Data!G74="","",Data!G74),"")</x:f>
        <x:v>3020.74</x:v>
      </x:c>
      <x:c r="H74" s="124" t="n">
        <x:f>IF(Data!$P74="High",IF(Data!H74="","",Data!H74),"")</x:f>
        <x:v>392.7</x:v>
      </x:c>
      <x:c r="I74" s="124" t="n">
        <x:f>IF(Data!$P74="High",IF(Data!I74="","",Data!I74),"")</x:f>
        <x:v>3413.4399999999996</x:v>
      </x:c>
      <x:c r="J74" t="str">
        <x:f>IF(Data!$P74="High",IF(Data!J74="","",Data!J74),"")</x:f>
        <x:v>Unpaid</x:v>
      </x:c>
      <x:c r="K74" t="str">
        <x:f>IF(Data!$P74="High",IF(Data!K74="","",Data!K74),"")</x:f>
        <x:v>Rejected</x:v>
      </x:c>
      <x:c r="L74" t="str">
        <x:f>IF(Data!$P74="High",IF(Data!L74="","",Data!L74),"")</x:f>
        <x:v>OK</x:v>
      </x:c>
      <x:c r="M74" t="str">
        <x:f>IF(Data!$P74="High",IF(Data!M74="","",Data!M74),"")</x:f>
        <x:v>Missing PO</x:v>
      </x:c>
      <x:c r="N74" t="str">
        <x:f>IF(Data!$P74="High",IF(Data!N74="","",Data!N74),"")</x:f>
        <x:v>OK</x:v>
      </x:c>
      <x:c r="O74" s="100" t="n">
        <x:f>IF(Data!$P74="High",Data!O74,"")</x:f>
        <x:v>8</x:v>
      </x:c>
      <x:c r="P74" t="str">
        <x:f>IF(Data!$P74="High",IF(Data!P74="","",Data!P74),"")</x:f>
        <x:v>High</x:v>
      </x:c>
      <x:c r="Q74" t="str">
        <x:f>IF(Data!$P74="High",IF(Data!Q74="","",Data!Q74),"")</x:f>
        <x:v>Missing PO; Overdue; Approval issue</x:v>
      </x:c>
    </x:row>
    <x:row r="75">
      <x:c r="A75" t="str">
        <x:f>IF(Data!$P75="High",IF(Data!A75="","",Data!A75),"")</x:f>
        <x:v>AP-0074</x:v>
      </x:c>
      <x:c r="B75" t="str">
        <x:f>IF(Data!$P75="High",IF(Data!B75="","",Data!B75),"")</x:f>
        <x:v>Vendor 3</x:v>
      </x:c>
      <x:c r="C75" t="str">
        <x:f>IF(Data!$P75="High",IF(Data!C75="","",Data!C75),"")</x:f>
        <x:v>INV-45498</x:v>
      </x:c>
      <x:c r="D75" t="str">
        <x:f>IF(Data!$P75="High",IF(Data!D75="","",Data!D75),"")</x:f>
      </x:c>
      <x:c r="E75" s="123" t="n">
        <x:f>IF(Data!$P75="High",IF(Data!E75="","",Data!E75),"")</x:f>
        <x:v>46185</x:v>
      </x:c>
      <x:c r="F75" s="123" t="n">
        <x:f>IF(Data!$P75="High",IF(Data!F75="","",Data!F75),"")</x:f>
        <x:v>46230</x:v>
      </x:c>
      <x:c r="G75" s="124" t="n">
        <x:f>IF(Data!$P75="High",IF(Data!G75="","",Data!G75),"")</x:f>
        <x:v>1904.94</x:v>
      </x:c>
      <x:c r="H75" s="124" t="n">
        <x:f>IF(Data!$P75="High",IF(Data!H75="","",Data!H75),"")</x:f>
        <x:v>247.64</x:v>
      </x:c>
      <x:c r="I75" s="124" t="n">
        <x:f>IF(Data!$P75="High",IF(Data!I75="","",Data!I75),"")</x:f>
        <x:v>2152.58</x:v>
      </x:c>
      <x:c r="J75" t="str">
        <x:f>IF(Data!$P75="High",IF(Data!J75="","",Data!J75),"")</x:f>
        <x:v>On Hold</x:v>
      </x:c>
      <x:c r="K75" t="str">
        <x:f>IF(Data!$P75="High",IF(Data!K75="","",Data!K75),"")</x:f>
        <x:v>Rejected</x:v>
      </x:c>
      <x:c r="L75" t="str">
        <x:f>IF(Data!$P75="High",IF(Data!L75="","",Data!L75),"")</x:f>
        <x:v>OK</x:v>
      </x:c>
      <x:c r="M75" t="str">
        <x:f>IF(Data!$P75="High",IF(Data!M75="","",Data!M75),"")</x:f>
        <x:v>Missing PO</x:v>
      </x:c>
      <x:c r="N75" t="str">
        <x:f>IF(Data!$P75="High",IF(Data!N75="","",Data!N75),"")</x:f>
        <x:v>OK</x:v>
      </x:c>
      <x:c r="O75" s="100" t="n">
        <x:f>IF(Data!$P75="High",Data!O75,"")</x:f>
        <x:v>2</x:v>
      </x:c>
      <x:c r="P75" t="str">
        <x:f>IF(Data!$P75="High",IF(Data!P75="","",Data!P75),"")</x:f>
        <x:v>High</x:v>
      </x:c>
      <x:c r="Q75" t="str">
        <x:f>IF(Data!$P75="High",IF(Data!Q75="","",Data!Q75),"")</x:f>
        <x:v>Missing PO; Overdue; Approval issue</x:v>
      </x:c>
    </x:row>
    <x:row r="76">
      <x:c r="A76" t="str">
        <x:f>IF(Data!$P76="High",IF(Data!A76="","",Data!A76),"")</x:f>
        <x:v>AP-0075</x:v>
      </x:c>
      <x:c r="B76" t="str">
        <x:f>IF(Data!$P76="High",IF(Data!B76="","",Data!B76),"")</x:f>
        <x:v>Vendor 15</x:v>
      </x:c>
      <x:c r="C76" t="str">
        <x:f>IF(Data!$P76="High",IF(Data!C76="","",Data!C76),"")</x:f>
        <x:v>INV-25387</x:v>
      </x:c>
      <x:c r="D76" t="str">
        <x:f>IF(Data!$P76="High",IF(Data!D76="","",Data!D76),"")</x:f>
        <x:v>PO-1066</x:v>
      </x:c>
      <x:c r="E76" s="123" t="n">
        <x:f>IF(Data!$P76="High",IF(Data!E76="","",Data!E76),"")</x:f>
        <x:v>46163</x:v>
      </x:c>
      <x:c r="F76" s="123" t="n">
        <x:f>IF(Data!$P76="High",IF(Data!F76="","",Data!F76),"")</x:f>
        <x:v>46208</x:v>
      </x:c>
      <x:c r="G76" s="124" t="n">
        <x:f>IF(Data!$P76="High",IF(Data!G76="","",Data!G76),"")</x:f>
        <x:v>4754.65</x:v>
      </x:c>
      <x:c r="H76" s="124" t="n">
        <x:f>IF(Data!$P76="High",IF(Data!H76="","",Data!H76),"")</x:f>
        <x:v>610.82</x:v>
      </x:c>
      <x:c r="I76" s="124" t="n">
        <x:f>IF(Data!$P76="High",IF(Data!I76="","",Data!I76),"")</x:f>
        <x:v>5365.469999999999</x:v>
      </x:c>
      <x:c r="J76" t="str">
        <x:f>IF(Data!$P76="High",IF(Data!J76="","",Data!J76),"")</x:f>
        <x:v>On Hold</x:v>
      </x:c>
      <x:c r="K76" t="str">
        <x:f>IF(Data!$P76="High",IF(Data!K76="","",Data!K76),"")</x:f>
        <x:v>Approved</x:v>
      </x:c>
      <x:c r="L76" t="str">
        <x:f>IF(Data!$P76="High",IF(Data!L76="","",Data!L76),"")</x:f>
        <x:v>OK</x:v>
      </x:c>
      <x:c r="M76" t="str">
        <x:f>IF(Data!$P76="High",IF(Data!M76="","",Data!M76),"")</x:f>
        <x:v>Matched</x:v>
      </x:c>
      <x:c r="N76" t="str">
        <x:f>IF(Data!$P76="High",IF(Data!N76="","",Data!N76),"")</x:f>
        <x:v>Review Tax</x:v>
      </x:c>
      <x:c r="O76" s="100" t="n">
        <x:f>IF(Data!$P76="High",Data!O76,"")</x:f>
        <x:v>24</x:v>
      </x:c>
      <x:c r="P76" t="str">
        <x:f>IF(Data!$P76="High",IF(Data!P76="","",Data!P76),"")</x:f>
        <x:v>High</x:v>
      </x:c>
      <x:c r="Q76" t="str">
        <x:f>IF(Data!$P76="High",IF(Data!Q76="","",Data!Q76),"")</x:f>
        <x:v>Tax variance; Overdue</x:v>
      </x:c>
    </x:row>
    <x:row r="77">
      <x:c r="A77" t="str">
        <x:f>IF(Data!$P77="High",IF(Data!A77="","",Data!A77),"")</x:f>
        <x:v>AP-0076</x:v>
      </x:c>
      <x:c r="B77" t="str">
        <x:f>IF(Data!$P77="High",IF(Data!B77="","",Data!B77),"")</x:f>
        <x:v>Vendor 4</x:v>
      </x:c>
      <x:c r="C77" t="str">
        <x:f>IF(Data!$P77="High",IF(Data!C77="","",Data!C77),"")</x:f>
        <x:v>INV-47141</x:v>
      </x:c>
      <x:c r="D77" t="str">
        <x:f>IF(Data!$P77="High",IF(Data!D77="","",Data!D77),"")</x:f>
        <x:v>PO-1007</x:v>
      </x:c>
      <x:c r="E77" s="123" t="n">
        <x:f>IF(Data!$P77="High",IF(Data!E77="","",Data!E77),"")</x:f>
        <x:v>46182</x:v>
      </x:c>
      <x:c r="F77" s="123" t="n">
        <x:f>IF(Data!$P77="High",IF(Data!F77="","",Data!F77),"")</x:f>
        <x:v>46197</x:v>
      </x:c>
      <x:c r="G77" s="124" t="n">
        <x:f>IF(Data!$P77="High",IF(Data!G77="","",Data!G77),"")</x:f>
        <x:v>7705.06</x:v>
      </x:c>
      <x:c r="H77" s="124" t="n">
        <x:f>IF(Data!$P77="High",IF(Data!H77="","",Data!H77),"")</x:f>
        <x:v>1001.66</x:v>
      </x:c>
      <x:c r="I77" s="124" t="n">
        <x:f>IF(Data!$P77="High",IF(Data!I77="","",Data!I77),"")</x:f>
        <x:v>8706.720000000001</x:v>
      </x:c>
      <x:c r="J77" t="str">
        <x:f>IF(Data!$P77="High",IF(Data!J77="","",Data!J77),"")</x:f>
        <x:v>Unpaid</x:v>
      </x:c>
      <x:c r="K77" t="str">
        <x:f>IF(Data!$P77="High",IF(Data!K77="","",Data!K77),"")</x:f>
        <x:v>Pending</x:v>
      </x:c>
      <x:c r="L77" t="str">
        <x:f>IF(Data!$P77="High",IF(Data!L77="","",Data!L77),"")</x:f>
        <x:v>OK</x:v>
      </x:c>
      <x:c r="M77" t="str">
        <x:f>IF(Data!$P77="High",IF(Data!M77="","",Data!M77),"")</x:f>
        <x:v>Matched</x:v>
      </x:c>
      <x:c r="N77" t="str">
        <x:f>IF(Data!$P77="High",IF(Data!N77="","",Data!N77),"")</x:f>
        <x:v>OK</x:v>
      </x:c>
      <x:c r="O77" s="100" t="n">
        <x:f>IF(Data!$P77="High",Data!O77,"")</x:f>
        <x:v>35</x:v>
      </x:c>
      <x:c r="P77" t="str">
        <x:f>IF(Data!$P77="High",IF(Data!P77="","",Data!P77),"")</x:f>
        <x:v>High</x:v>
      </x:c>
      <x:c r="Q77" t="str">
        <x:f>IF(Data!$P77="High",IF(Data!Q77="","",Data!Q77),"")</x:f>
        <x:v>Overdue; Approval issue</x:v>
      </x:c>
    </x:row>
    <x:row r="78">
      <x:c r="A78" t="str">
        <x:f>IF(Data!$P78="High",IF(Data!A78="","",Data!A78),"")</x:f>
        <x:v>AP-0077</x:v>
      </x:c>
      <x:c r="B78" t="str">
        <x:f>IF(Data!$P78="High",IF(Data!B78="","",Data!B78),"")</x:f>
        <x:v>Vendor 20</x:v>
      </x:c>
      <x:c r="C78" t="str">
        <x:f>IF(Data!$P78="High",IF(Data!C78="","",Data!C78),"")</x:f>
        <x:v>INV-48617</x:v>
      </x:c>
      <x:c r="D78" t="str">
        <x:f>IF(Data!$P78="High",IF(Data!D78="","",Data!D78),"")</x:f>
        <x:v>PO-1073</x:v>
      </x:c>
      <x:c r="E78" s="123" t="n">
        <x:f>IF(Data!$P78="High",IF(Data!E78="","",Data!E78),"")</x:f>
        <x:v>46165</x:v>
      </x:c>
      <x:c r="F78" s="123" t="n">
        <x:f>IF(Data!$P78="High",IF(Data!F78="","",Data!F78),"")</x:f>
        <x:v>46180</x:v>
      </x:c>
      <x:c r="G78" s="124" t="n">
        <x:f>IF(Data!$P78="High",IF(Data!G78="","",Data!G78),"")</x:f>
        <x:v>5274.93</x:v>
      </x:c>
      <x:c r="H78" s="124" t="n">
        <x:f>IF(Data!$P78="High",IF(Data!H78="","",Data!H78),"")</x:f>
        <x:v>683.3</x:v>
      </x:c>
      <x:c r="I78" s="124" t="n">
        <x:f>IF(Data!$P78="High",IF(Data!I78="","",Data!I78),"")</x:f>
        <x:v>5958.2300000000005</x:v>
      </x:c>
      <x:c r="J78" t="str">
        <x:f>IF(Data!$P78="High",IF(Data!J78="","",Data!J78),"")</x:f>
        <x:v>Unpaid</x:v>
      </x:c>
      <x:c r="K78" t="str">
        <x:f>IF(Data!$P78="High",IF(Data!K78="","",Data!K78),"")</x:f>
        <x:v>Approved</x:v>
      </x:c>
      <x:c r="L78" t="str">
        <x:f>IF(Data!$P78="High",IF(Data!L78="","",Data!L78),"")</x:f>
        <x:v>OK</x:v>
      </x:c>
      <x:c r="M78" t="str">
        <x:f>IF(Data!$P78="High",IF(Data!M78="","",Data!M78),"")</x:f>
        <x:v>Matched</x:v>
      </x:c>
      <x:c r="N78" t="str">
        <x:f>IF(Data!$P78="High",IF(Data!N78="","",Data!N78),"")</x:f>
        <x:v>Review Tax</x:v>
      </x:c>
      <x:c r="O78" s="100" t="n">
        <x:f>IF(Data!$P78="High",Data!O78,"")</x:f>
        <x:v>52</x:v>
      </x:c>
      <x:c r="P78" t="str">
        <x:f>IF(Data!$P78="High",IF(Data!P78="","",Data!P78),"")</x:f>
        <x:v>High</x:v>
      </x:c>
      <x:c r="Q78" t="str">
        <x:f>IF(Data!$P78="High",IF(Data!Q78="","",Data!Q78),"")</x:f>
        <x:v>Tax variance; Overdue</x:v>
      </x:c>
    </x:row>
    <x:row r="79">
      <x:c r="A79" t="str">
        <x:f>IF(Data!$P79="High",IF(Data!A79="","",Data!A79),"")</x:f>
        <x:v>AP-0078</x:v>
      </x:c>
      <x:c r="B79" t="str">
        <x:f>IF(Data!$P79="High",IF(Data!B79="","",Data!B79),"")</x:f>
        <x:v>Vendor 15</x:v>
      </x:c>
      <x:c r="C79" t="str">
        <x:f>IF(Data!$P79="High",IF(Data!C79="","",Data!C79),"")</x:f>
        <x:v>INV-26038</x:v>
      </x:c>
      <x:c r="D79" t="str">
        <x:f>IF(Data!$P79="High",IF(Data!D79="","",Data!D79),"")</x:f>
        <x:v>PO-1046</x:v>
      </x:c>
      <x:c r="E79" s="123" t="n">
        <x:f>IF(Data!$P79="High",IF(Data!E79="","",Data!E79),"")</x:f>
        <x:v>46176</x:v>
      </x:c>
      <x:c r="F79" s="123" t="n">
        <x:f>IF(Data!$P79="High",IF(Data!F79="","",Data!F79),"")</x:f>
        <x:v>46191</x:v>
      </x:c>
      <x:c r="G79" s="124" t="n">
        <x:f>IF(Data!$P79="High",IF(Data!G79="","",Data!G79),"")</x:f>
        <x:v>11442.48</x:v>
      </x:c>
      <x:c r="H79" s="124" t="n">
        <x:f>IF(Data!$P79="High",IF(Data!H79="","",Data!H79),"")</x:f>
        <x:v>1487.52</x:v>
      </x:c>
      <x:c r="I79" s="124" t="n">
        <x:f>IF(Data!$P79="High",IF(Data!I79="","",Data!I79),"")</x:f>
        <x:v>12930</x:v>
      </x:c>
      <x:c r="J79" t="str">
        <x:f>IF(Data!$P79="High",IF(Data!J79="","",Data!J79),"")</x:f>
        <x:v>Unpaid</x:v>
      </x:c>
      <x:c r="K79" t="str">
        <x:f>IF(Data!$P79="High",IF(Data!K79="","",Data!K79),"")</x:f>
        <x:v>Approved</x:v>
      </x:c>
      <x:c r="L79" t="str">
        <x:f>IF(Data!$P79="High",IF(Data!L79="","",Data!L79),"")</x:f>
        <x:v>OK</x:v>
      </x:c>
      <x:c r="M79" t="str">
        <x:f>IF(Data!$P79="High",IF(Data!M79="","",Data!M79),"")</x:f>
        <x:v>Matched</x:v>
      </x:c>
      <x:c r="N79" t="str">
        <x:f>IF(Data!$P79="High",IF(Data!N79="","",Data!N79),"")</x:f>
        <x:v>OK</x:v>
      </x:c>
      <x:c r="O79" s="100" t="n">
        <x:f>IF(Data!$P79="High",Data!O79,"")</x:f>
        <x:v>41</x:v>
      </x:c>
      <x:c r="P79" t="str">
        <x:f>IF(Data!$P79="High",IF(Data!P79="","",Data!P79),"")</x:f>
        <x:v>High</x:v>
      </x:c>
      <x:c r="Q79" t="str">
        <x:f>IF(Data!$P79="High",IF(Data!Q79="","",Data!Q79),"")</x:f>
        <x:v>Overdue</x:v>
      </x:c>
    </x:row>
    <x:row r="80">
      <x:c r="A80" t="str">
        <x:f>IF(Data!$P80="High",IF(Data!A80="","",Data!A80),"")</x:f>
        <x:v>AP-0079</x:v>
      </x:c>
      <x:c r="B80" t="str">
        <x:f>IF(Data!$P80="High",IF(Data!B80="","",Data!B80),"")</x:f>
        <x:v>Vendor 16</x:v>
      </x:c>
      <x:c r="C80" t="str">
        <x:f>IF(Data!$P80="High",IF(Data!C80="","",Data!C80),"")</x:f>
        <x:v>INV-24900</x:v>
      </x:c>
      <x:c r="D80" t="str">
        <x:f>IF(Data!$P80="High",IF(Data!D80="","",Data!D80),"")</x:f>
        <x:v>PO-1007</x:v>
      </x:c>
      <x:c r="E80" s="123" t="n">
        <x:f>IF(Data!$P80="High",IF(Data!E80="","",Data!E80),"")</x:f>
        <x:v>46183</x:v>
      </x:c>
      <x:c r="F80" s="123" t="n">
        <x:f>IF(Data!$P80="High",IF(Data!F80="","",Data!F80),"")</x:f>
        <x:v>46228</x:v>
      </x:c>
      <x:c r="G80" s="124" t="n">
        <x:f>IF(Data!$P80="High",IF(Data!G80="","",Data!G80),"")</x:f>
        <x:v>1292.66</x:v>
      </x:c>
      <x:c r="H80" s="124" t="n">
        <x:f>IF(Data!$P80="High",IF(Data!H80="","",Data!H80),"")</x:f>
        <x:v>164.16</x:v>
      </x:c>
      <x:c r="I80" s="124" t="n">
        <x:f>IF(Data!$P80="High",IF(Data!I80="","",Data!I80),"")</x:f>
        <x:v>1456.8200000000002</x:v>
      </x:c>
      <x:c r="J80" t="str">
        <x:f>IF(Data!$P80="High",IF(Data!J80="","",Data!J80),"")</x:f>
        <x:v>Paid</x:v>
      </x:c>
      <x:c r="K80" t="str">
        <x:f>IF(Data!$P80="High",IF(Data!K80="","",Data!K80),"")</x:f>
        <x:v>Rejected</x:v>
      </x:c>
      <x:c r="L80" t="str">
        <x:f>IF(Data!$P80="High",IF(Data!L80="","",Data!L80),"")</x:f>
        <x:v>OK</x:v>
      </x:c>
      <x:c r="M80" t="str">
        <x:f>IF(Data!$P80="High",IF(Data!M80="","",Data!M80),"")</x:f>
        <x:v>Matched</x:v>
      </x:c>
      <x:c r="N80" t="str">
        <x:f>IF(Data!$P80="High",IF(Data!N80="","",Data!N80),"")</x:f>
        <x:v>Review Tax</x:v>
      </x:c>
      <x:c r="O80" s="100" t="n">
        <x:f>IF(Data!$P80="High",Data!O80,"")</x:f>
        <x:v>0</x:v>
      </x:c>
      <x:c r="P80" t="str">
        <x:f>IF(Data!$P80="High",IF(Data!P80="","",Data!P80),"")</x:f>
        <x:v>High</x:v>
      </x:c>
      <x:c r="Q80" t="str">
        <x:f>IF(Data!$P80="High",IF(Data!Q80="","",Data!Q80),"")</x:f>
        <x:v>Tax variance; Approval issue</x:v>
      </x:c>
    </x:row>
    <x:row r="81">
      <x:c r="A81" t="str">
        <x:f>IF(Data!$P81="High",IF(Data!A81="","",Data!A81),"")</x:f>
        <x:v>AP-0080</x:v>
      </x:c>
      <x:c r="B81" t="str">
        <x:f>IF(Data!$P81="High",IF(Data!B81="","",Data!B81),"")</x:f>
        <x:v>Vendor 29</x:v>
      </x:c>
      <x:c r="C81" t="str">
        <x:f>IF(Data!$P81="High",IF(Data!C81="","",Data!C81),"")</x:f>
        <x:v>INV-48597</x:v>
      </x:c>
      <x:c r="D81" t="str">
        <x:f>IF(Data!$P81="High",IF(Data!D81="","",Data!D81),"")</x:f>
      </x:c>
      <x:c r="E81" s="123" t="n">
        <x:f>IF(Data!$P81="High",IF(Data!E81="","",Data!E81),"")</x:f>
        <x:v>46170</x:v>
      </x:c>
      <x:c r="F81" s="123" t="n">
        <x:f>IF(Data!$P81="High",IF(Data!F81="","",Data!F81),"")</x:f>
        <x:v>46185</x:v>
      </x:c>
      <x:c r="G81" s="124" t="n">
        <x:f>IF(Data!$P81="High",IF(Data!G81="","",Data!G81),"")</x:f>
        <x:v>1887.32</x:v>
      </x:c>
      <x:c r="H81" s="124" t="n">
        <x:f>IF(Data!$P81="High",IF(Data!H81="","",Data!H81),"")</x:f>
        <x:v>238.19</x:v>
      </x:c>
      <x:c r="I81" s="124" t="n">
        <x:f>IF(Data!$P81="High",IF(Data!I81="","",Data!I81),"")</x:f>
        <x:v>2125.5099999999998</x:v>
      </x:c>
      <x:c r="J81" t="str">
        <x:f>IF(Data!$P81="High",IF(Data!J81="","",Data!J81),"")</x:f>
        <x:v>Paid</x:v>
      </x:c>
      <x:c r="K81" t="str">
        <x:f>IF(Data!$P81="High",IF(Data!K81="","",Data!K81),"")</x:f>
        <x:v>Rejected</x:v>
      </x:c>
      <x:c r="L81" t="str">
        <x:f>IF(Data!$P81="High",IF(Data!L81="","",Data!L81),"")</x:f>
        <x:v>OK</x:v>
      </x:c>
      <x:c r="M81" t="str">
        <x:f>IF(Data!$P81="High",IF(Data!M81="","",Data!M81),"")</x:f>
        <x:v>Missing PO</x:v>
      </x:c>
      <x:c r="N81" t="str">
        <x:f>IF(Data!$P81="High",IF(Data!N81="","",Data!N81),"")</x:f>
        <x:v>Review Tax</x:v>
      </x:c>
      <x:c r="O81" s="100" t="n">
        <x:f>IF(Data!$P81="High",Data!O81,"")</x:f>
        <x:v>0</x:v>
      </x:c>
      <x:c r="P81" t="str">
        <x:f>IF(Data!$P81="High",IF(Data!P81="","",Data!P81),"")</x:f>
        <x:v>High</x:v>
      </x:c>
      <x:c r="Q81" t="str">
        <x:f>IF(Data!$P81="High",IF(Data!Q81="","",Data!Q81),"")</x:f>
        <x:v>Missing PO; Tax variance; Approval issue</x:v>
      </x:c>
    </x:row>
    <x:row r="82">
      <x:c r="A82" t="str">
        <x:f>IF(Data!$P82="High",IF(Data!A82="","",Data!A82),"")</x:f>
        <x:v>AP-0081</x:v>
      </x:c>
      <x:c r="B82" t="str">
        <x:f>IF(Data!$P82="High",IF(Data!B82="","",Data!B82),"")</x:f>
        <x:v>Vendor 13</x:v>
      </x:c>
      <x:c r="C82" t="str">
        <x:f>IF(Data!$P82="High",IF(Data!C82="","",Data!C82),"")</x:f>
        <x:v>INV-20827</x:v>
      </x:c>
      <x:c r="D82" t="str">
        <x:f>IF(Data!$P82="High",IF(Data!D82="","",Data!D82),"")</x:f>
      </x:c>
      <x:c r="E82" s="123" t="n">
        <x:f>IF(Data!$P82="High",IF(Data!E82="","",Data!E82),"")</x:f>
        <x:v>46149</x:v>
      </x:c>
      <x:c r="F82" s="123" t="n">
        <x:f>IF(Data!$P82="High",IF(Data!F82="","",Data!F82),"")</x:f>
        <x:v>46179</x:v>
      </x:c>
      <x:c r="G82" s="124" t="n">
        <x:f>IF(Data!$P82="High",IF(Data!G82="","",Data!G82),"")</x:f>
        <x:v>6454.6</x:v>
      </x:c>
      <x:c r="H82" s="124" t="n">
        <x:f>IF(Data!$P82="High",IF(Data!H82="","",Data!H82),"")</x:f>
        <x:v>839.1</x:v>
      </x:c>
      <x:c r="I82" s="124" t="n">
        <x:f>IF(Data!$P82="High",IF(Data!I82="","",Data!I82),"")</x:f>
        <x:v>7293.700000000001</x:v>
      </x:c>
      <x:c r="J82" t="str">
        <x:f>IF(Data!$P82="High",IF(Data!J82="","",Data!J82),"")</x:f>
        <x:v>Paid</x:v>
      </x:c>
      <x:c r="K82" t="str">
        <x:f>IF(Data!$P82="High",IF(Data!K82="","",Data!K82),"")</x:f>
        <x:v>Rejected</x:v>
      </x:c>
      <x:c r="L82" t="str">
        <x:f>IF(Data!$P82="High",IF(Data!L82="","",Data!L82),"")</x:f>
        <x:v>OK</x:v>
      </x:c>
      <x:c r="M82" t="str">
        <x:f>IF(Data!$P82="High",IF(Data!M82="","",Data!M82),"")</x:f>
        <x:v>Missing PO</x:v>
      </x:c>
      <x:c r="N82" t="str">
        <x:f>IF(Data!$P82="High",IF(Data!N82="","",Data!N82),"")</x:f>
        <x:v>OK</x:v>
      </x:c>
      <x:c r="O82" s="100" t="n">
        <x:f>IF(Data!$P82="High",Data!O82,"")</x:f>
        <x:v>0</x:v>
      </x:c>
      <x:c r="P82" t="str">
        <x:f>IF(Data!$P82="High",IF(Data!P82="","",Data!P82),"")</x:f>
        <x:v>High</x:v>
      </x:c>
      <x:c r="Q82" t="str">
        <x:f>IF(Data!$P82="High",IF(Data!Q82="","",Data!Q82),"")</x:f>
        <x:v>Missing PO; Approval issue</x:v>
      </x:c>
    </x:row>
    <x:row r="83">
      <x:c r="A83" t="str">
        <x:f>IF(Data!$P83="High",IF(Data!A83="","",Data!A83),"")</x:f>
        <x:v>AP-0082</x:v>
      </x:c>
      <x:c r="B83" t="str">
        <x:f>IF(Data!$P83="High",IF(Data!B83="","",Data!B83),"")</x:f>
        <x:v>Vendor 3</x:v>
      </x:c>
      <x:c r="C83" t="str">
        <x:f>IF(Data!$P83="High",IF(Data!C83="","",Data!C83),"")</x:f>
        <x:v>INV-33795</x:v>
      </x:c>
      <x:c r="D83" t="str">
        <x:f>IF(Data!$P83="High",IF(Data!D83="","",Data!D83),"")</x:f>
      </x:c>
      <x:c r="E83" s="123" t="n">
        <x:f>IF(Data!$P83="High",IF(Data!E83="","",Data!E83),"")</x:f>
        <x:v>46151</x:v>
      </x:c>
      <x:c r="F83" s="123" t="n">
        <x:f>IF(Data!$P83="High",IF(Data!F83="","",Data!F83),"")</x:f>
        <x:v>46181</x:v>
      </x:c>
      <x:c r="G83" s="124" t="n">
        <x:f>IF(Data!$P83="High",IF(Data!G83="","",Data!G83),"")</x:f>
        <x:v>11934.24</x:v>
      </x:c>
      <x:c r="H83" s="124" t="n">
        <x:f>IF(Data!$P83="High",IF(Data!H83="","",Data!H83),"")</x:f>
        <x:v>1552.93</x:v>
      </x:c>
      <x:c r="I83" s="124" t="n">
        <x:f>IF(Data!$P83="High",IF(Data!I83="","",Data!I83),"")</x:f>
        <x:v>13487.17</x:v>
      </x:c>
      <x:c r="J83" t="str">
        <x:f>IF(Data!$P83="High",IF(Data!J83="","",Data!J83),"")</x:f>
        <x:v>Unpaid</x:v>
      </x:c>
      <x:c r="K83" t="str">
        <x:f>IF(Data!$P83="High",IF(Data!K83="","",Data!K83),"")</x:f>
        <x:v>Approved</x:v>
      </x:c>
      <x:c r="L83" t="str">
        <x:f>IF(Data!$P83="High",IF(Data!L83="","",Data!L83),"")</x:f>
        <x:v>OK</x:v>
      </x:c>
      <x:c r="M83" t="str">
        <x:f>IF(Data!$P83="High",IF(Data!M83="","",Data!M83),"")</x:f>
        <x:v>Missing PO</x:v>
      </x:c>
      <x:c r="N83" t="str">
        <x:f>IF(Data!$P83="High",IF(Data!N83="","",Data!N83),"")</x:f>
        <x:v>Review Tax</x:v>
      </x:c>
      <x:c r="O83" s="100" t="n">
        <x:f>IF(Data!$P83="High",Data!O83,"")</x:f>
        <x:v>51</x:v>
      </x:c>
      <x:c r="P83" t="str">
        <x:f>IF(Data!$P83="High",IF(Data!P83="","",Data!P83),"")</x:f>
        <x:v>High</x:v>
      </x:c>
      <x:c r="Q83" t="str">
        <x:f>IF(Data!$P83="High",IF(Data!Q83="","",Data!Q83),"")</x:f>
        <x:v>Missing PO; Tax variance; Overdue</x:v>
      </x:c>
    </x:row>
    <x:row r="84">
      <x:c r="A84" t="str">
        <x:f>IF(Data!$P84="High",IF(Data!A84="","",Data!A84),"")</x:f>
        <x:v>AP-0083</x:v>
      </x:c>
      <x:c r="B84" t="str">
        <x:f>IF(Data!$P84="High",IF(Data!B84="","",Data!B84),"")</x:f>
        <x:v>Vendor 25</x:v>
      </x:c>
      <x:c r="C84" t="str">
        <x:f>IF(Data!$P84="High",IF(Data!C84="","",Data!C84),"")</x:f>
        <x:v>INV-40984</x:v>
      </x:c>
      <x:c r="D84" t="str">
        <x:f>IF(Data!$P84="High",IF(Data!D84="","",Data!D84),"")</x:f>
        <x:v>PO-1086</x:v>
      </x:c>
      <x:c r="E84" s="123" t="n">
        <x:f>IF(Data!$P84="High",IF(Data!E84="","",Data!E84),"")</x:f>
        <x:v>46184</x:v>
      </x:c>
      <x:c r="F84" s="123" t="n">
        <x:f>IF(Data!$P84="High",IF(Data!F84="","",Data!F84),"")</x:f>
        <x:v>46229</x:v>
      </x:c>
      <x:c r="G84" s="124" t="n">
        <x:f>IF(Data!$P84="High",IF(Data!G84="","",Data!G84),"")</x:f>
        <x:v>9509.59</x:v>
      </x:c>
      <x:c r="H84" s="124" t="n">
        <x:f>IF(Data!$P84="High",IF(Data!H84="","",Data!H84),"")</x:f>
        <x:v>1228.89</x:v>
      </x:c>
      <x:c r="I84" s="124" t="n">
        <x:f>IF(Data!$P84="High",IF(Data!I84="","",Data!I84),"")</x:f>
        <x:v>10738.48</x:v>
      </x:c>
      <x:c r="J84" t="str">
        <x:f>IF(Data!$P84="High",IF(Data!J84="","",Data!J84),"")</x:f>
        <x:v>Paid</x:v>
      </x:c>
      <x:c r="K84" t="str">
        <x:f>IF(Data!$P84="High",IF(Data!K84="","",Data!K84),"")</x:f>
        <x:v>Rejected</x:v>
      </x:c>
      <x:c r="L84" t="str">
        <x:f>IF(Data!$P84="High",IF(Data!L84="","",Data!L84),"")</x:f>
        <x:v>OK</x:v>
      </x:c>
      <x:c r="M84" t="str">
        <x:f>IF(Data!$P84="High",IF(Data!M84="","",Data!M84),"")</x:f>
        <x:v>Matched</x:v>
      </x:c>
      <x:c r="N84" t="str">
        <x:f>IF(Data!$P84="High",IF(Data!N84="","",Data!N84),"")</x:f>
        <x:v>Review Tax</x:v>
      </x:c>
      <x:c r="O84" s="100" t="n">
        <x:f>IF(Data!$P84="High",Data!O84,"")</x:f>
        <x:v>0</x:v>
      </x:c>
      <x:c r="P84" t="str">
        <x:f>IF(Data!$P84="High",IF(Data!P84="","",Data!P84),"")</x:f>
        <x:v>High</x:v>
      </x:c>
      <x:c r="Q84" t="str">
        <x:f>IF(Data!$P84="High",IF(Data!Q84="","",Data!Q84),"")</x:f>
        <x:v>Tax variance; Approval issue</x:v>
      </x:c>
    </x:row>
    <x:row r="85">
      <x:c r="A85" t="str">
        <x:f>IF(Data!$P85="High",IF(Data!A85="","",Data!A85),"")</x:f>
        <x:v>AP-0084</x:v>
      </x:c>
      <x:c r="B85" t="str">
        <x:f>IF(Data!$P85="High",IF(Data!B85="","",Data!B85),"")</x:f>
        <x:v>Vendor 12</x:v>
      </x:c>
      <x:c r="C85" t="str">
        <x:f>IF(Data!$P85="High",IF(Data!C85="","",Data!C85),"")</x:f>
        <x:v>INV-23170</x:v>
      </x:c>
      <x:c r="D85" t="str">
        <x:f>IF(Data!$P85="High",IF(Data!D85="","",Data!D85),"")</x:f>
        <x:v>PO-1021</x:v>
      </x:c>
      <x:c r="E85" s="123" t="n">
        <x:f>IF(Data!$P85="High",IF(Data!E85="","",Data!E85),"")</x:f>
        <x:v>46190</x:v>
      </x:c>
      <x:c r="F85" s="123" t="n">
        <x:f>IF(Data!$P85="High",IF(Data!F85="","",Data!F85),"")</x:f>
        <x:v>46205</x:v>
      </x:c>
      <x:c r="G85" s="124" t="n">
        <x:f>IF(Data!$P85="High",IF(Data!G85="","",Data!G85),"")</x:f>
        <x:v>2037.94</x:v>
      </x:c>
      <x:c r="H85" s="124" t="n">
        <x:f>IF(Data!$P85="High",IF(Data!H85="","",Data!H85),"")</x:f>
        <x:v>264.93</x:v>
      </x:c>
      <x:c r="I85" s="124" t="n">
        <x:f>IF(Data!$P85="High",IF(Data!I85="","",Data!I85),"")</x:f>
        <x:v>2302.87</x:v>
      </x:c>
      <x:c r="J85" t="str">
        <x:f>IF(Data!$P85="High",IF(Data!J85="","",Data!J85),"")</x:f>
        <x:v>Paid</x:v>
      </x:c>
      <x:c r="K85" t="str">
        <x:f>IF(Data!$P85="High",IF(Data!K85="","",Data!K85),"")</x:f>
        <x:v>Rejected</x:v>
      </x:c>
      <x:c r="L85" t="str">
        <x:f>IF(Data!$P85="High",IF(Data!L85="","",Data!L85),"")</x:f>
        <x:v>OK</x:v>
      </x:c>
      <x:c r="M85" t="str">
        <x:f>IF(Data!$P85="High",IF(Data!M85="","",Data!M85),"")</x:f>
        <x:v>Matched</x:v>
      </x:c>
      <x:c r="N85" t="str">
        <x:f>IF(Data!$P85="High",IF(Data!N85="","",Data!N85),"")</x:f>
        <x:v>OK</x:v>
      </x:c>
      <x:c r="O85" s="100" t="n">
        <x:f>IF(Data!$P85="High",Data!O85,"")</x:f>
        <x:v>0</x:v>
      </x:c>
      <x:c r="P85" t="str">
        <x:f>IF(Data!$P85="High",IF(Data!P85="","",Data!P85),"")</x:f>
        <x:v>High</x:v>
      </x:c>
      <x:c r="Q85" t="str">
        <x:f>IF(Data!$P85="High",IF(Data!Q85="","",Data!Q85),"")</x:f>
        <x:v>Approval issue</x:v>
      </x:c>
    </x:row>
    <x:row r="86">
      <x:c r="A86" t="str">
        <x:f>IF(Data!$P86="High",IF(Data!A86="","",Data!A86),"")</x:f>
        <x:v>AP-0085</x:v>
      </x:c>
      <x:c r="B86" t="str">
        <x:f>IF(Data!$P86="High",IF(Data!B86="","",Data!B86),"")</x:f>
        <x:v>Vendor 14</x:v>
      </x:c>
      <x:c r="C86" t="str">
        <x:f>IF(Data!$P86="High",IF(Data!C86="","",Data!C86),"")</x:f>
        <x:v>INV-32383</x:v>
      </x:c>
      <x:c r="D86" t="str">
        <x:f>IF(Data!$P86="High",IF(Data!D86="","",Data!D86),"")</x:f>
      </x:c>
      <x:c r="E86" s="123" t="n">
        <x:f>IF(Data!$P86="High",IF(Data!E86="","",Data!E86),"")</x:f>
        <x:v>46167</x:v>
      </x:c>
      <x:c r="F86" s="123" t="n">
        <x:f>IF(Data!$P86="High",IF(Data!F86="","",Data!F86),"")</x:f>
        <x:v>46212</x:v>
      </x:c>
      <x:c r="G86" s="124" t="n">
        <x:f>IF(Data!$P86="High",IF(Data!G86="","",Data!G86),"")</x:f>
        <x:v>953.59</x:v>
      </x:c>
      <x:c r="H86" s="124" t="n">
        <x:f>IF(Data!$P86="High",IF(Data!H86="","",Data!H86),"")</x:f>
        <x:v>123.97</x:v>
      </x:c>
      <x:c r="I86" s="124" t="n">
        <x:f>IF(Data!$P86="High",IF(Data!I86="","",Data!I86),"")</x:f>
        <x:v>1077.56</x:v>
      </x:c>
      <x:c r="J86" t="str">
        <x:f>IF(Data!$P86="High",IF(Data!J86="","",Data!J86),"")</x:f>
        <x:v>Paid</x:v>
      </x:c>
      <x:c r="K86" t="str">
        <x:f>IF(Data!$P86="High",IF(Data!K86="","",Data!K86),"")</x:f>
        <x:v>Approved</x:v>
      </x:c>
      <x:c r="L86" t="str">
        <x:f>IF(Data!$P86="High",IF(Data!L86="","",Data!L86),"")</x:f>
        <x:v>OK</x:v>
      </x:c>
      <x:c r="M86" t="str">
        <x:f>IF(Data!$P86="High",IF(Data!M86="","",Data!M86),"")</x:f>
        <x:v>Missing PO</x:v>
      </x:c>
      <x:c r="N86" t="str">
        <x:f>IF(Data!$P86="High",IF(Data!N86="","",Data!N86),"")</x:f>
        <x:v>OK</x:v>
      </x:c>
      <x:c r="O86" s="100" t="n">
        <x:f>IF(Data!$P86="High",Data!O86,"")</x:f>
        <x:v>0</x:v>
      </x:c>
      <x:c r="P86" t="str">
        <x:f>IF(Data!$P86="High",IF(Data!P86="","",Data!P86),"")</x:f>
        <x:v>High</x:v>
      </x:c>
      <x:c r="Q86" t="str">
        <x:f>IF(Data!$P86="High",IF(Data!Q86="","",Data!Q86),"")</x:f>
        <x:v>Missing PO</x:v>
      </x:c>
    </x:row>
    <x:row r="87">
      <x:c r="A87" t="str">
        <x:f>IF(Data!$P87="High",IF(Data!A87="","",Data!A87),"")</x:f>
        <x:v>AP-0086</x:v>
      </x:c>
      <x:c r="B87" t="str">
        <x:f>IF(Data!$P87="High",IF(Data!B87="","",Data!B87),"")</x:f>
        <x:v>Vendor 12</x:v>
      </x:c>
      <x:c r="C87" t="str">
        <x:f>IF(Data!$P87="High",IF(Data!C87="","",Data!C87),"")</x:f>
        <x:v>INV-40054</x:v>
      </x:c>
      <x:c r="D87" t="str">
        <x:f>IF(Data!$P87="High",IF(Data!D87="","",Data!D87),"")</x:f>
      </x:c>
      <x:c r="E87" s="123" t="n">
        <x:f>IF(Data!$P87="High",IF(Data!E87="","",Data!E87),"")</x:f>
        <x:v>46181</x:v>
      </x:c>
      <x:c r="F87" s="123" t="n">
        <x:f>IF(Data!$P87="High",IF(Data!F87="","",Data!F87),"")</x:f>
        <x:v>46196</x:v>
      </x:c>
      <x:c r="G87" s="124" t="n">
        <x:f>IF(Data!$P87="High",IF(Data!G87="","",Data!G87),"")</x:f>
        <x:v>4987.32</x:v>
      </x:c>
      <x:c r="H87" s="124" t="n">
        <x:f>IF(Data!$P87="High",IF(Data!H87="","",Data!H87),"")</x:f>
        <x:v>648.35</x:v>
      </x:c>
      <x:c r="I87" s="124" t="n">
        <x:f>IF(Data!$P87="High",IF(Data!I87="","",Data!I87),"")</x:f>
        <x:v>5635.67</x:v>
      </x:c>
      <x:c r="J87" t="str">
        <x:f>IF(Data!$P87="High",IF(Data!J87="","",Data!J87),"")</x:f>
        <x:v>Unpaid</x:v>
      </x:c>
      <x:c r="K87" t="str">
        <x:f>IF(Data!$P87="High",IF(Data!K87="","",Data!K87),"")</x:f>
        <x:v>Approved</x:v>
      </x:c>
      <x:c r="L87" t="str">
        <x:f>IF(Data!$P87="High",IF(Data!L87="","",Data!L87),"")</x:f>
        <x:v>OK</x:v>
      </x:c>
      <x:c r="M87" t="str">
        <x:f>IF(Data!$P87="High",IF(Data!M87="","",Data!M87),"")</x:f>
        <x:v>Missing PO</x:v>
      </x:c>
      <x:c r="N87" t="str">
        <x:f>IF(Data!$P87="High",IF(Data!N87="","",Data!N87),"")</x:f>
        <x:v>OK</x:v>
      </x:c>
      <x:c r="O87" s="100" t="n">
        <x:f>IF(Data!$P87="High",Data!O87,"")</x:f>
        <x:v>36</x:v>
      </x:c>
      <x:c r="P87" t="str">
        <x:f>IF(Data!$P87="High",IF(Data!P87="","",Data!P87),"")</x:f>
        <x:v>High</x:v>
      </x:c>
      <x:c r="Q87" t="str">
        <x:f>IF(Data!$P87="High",IF(Data!Q87="","",Data!Q87),"")</x:f>
        <x:v>Missing PO; Overdue</x:v>
      </x:c>
    </x:row>
    <x:row r="88">
      <x:c r="A88" t="str">
        <x:f>IF(Data!$P88="High",IF(Data!A88="","",Data!A88),"")</x:f>
        <x:v>AP-0087</x:v>
      </x:c>
      <x:c r="B88" t="str">
        <x:f>IF(Data!$P88="High",IF(Data!B88="","",Data!B88),"")</x:f>
        <x:v>Vendor 10</x:v>
      </x:c>
      <x:c r="C88" t="str">
        <x:f>IF(Data!$P88="High",IF(Data!C88="","",Data!C88),"")</x:f>
        <x:v>INV-47901</x:v>
      </x:c>
      <x:c r="D88" t="str">
        <x:f>IF(Data!$P88="High",IF(Data!D88="","",Data!D88),"")</x:f>
        <x:v>PO-1043</x:v>
      </x:c>
      <x:c r="E88" s="123" t="n">
        <x:f>IF(Data!$P88="High",IF(Data!E88="","",Data!E88),"")</x:f>
        <x:v>46172</x:v>
      </x:c>
      <x:c r="F88" s="123" t="n">
        <x:f>IF(Data!$P88="High",IF(Data!F88="","",Data!F88),"")</x:f>
        <x:v>46187</x:v>
      </x:c>
      <x:c r="G88" s="124" t="n">
        <x:f>IF(Data!$P88="High",IF(Data!G88="","",Data!G88),"")</x:f>
        <x:v>8453.93</x:v>
      </x:c>
      <x:c r="H88" s="124" t="n">
        <x:f>IF(Data!$P88="High",IF(Data!H88="","",Data!H88),"")</x:f>
        <x:v>1099.01</x:v>
      </x:c>
      <x:c r="I88" s="124" t="n">
        <x:f>IF(Data!$P88="High",IF(Data!I88="","",Data!I88),"")</x:f>
        <x:v>9552.94</x:v>
      </x:c>
      <x:c r="J88" t="str">
        <x:f>IF(Data!$P88="High",IF(Data!J88="","",Data!J88),"")</x:f>
        <x:v>Unpaid</x:v>
      </x:c>
      <x:c r="K88" t="str">
        <x:f>IF(Data!$P88="High",IF(Data!K88="","",Data!K88),"")</x:f>
        <x:v>Pending</x:v>
      </x:c>
      <x:c r="L88" t="str">
        <x:f>IF(Data!$P88="High",IF(Data!L88="","",Data!L88),"")</x:f>
        <x:v>OK</x:v>
      </x:c>
      <x:c r="M88" t="str">
        <x:f>IF(Data!$P88="High",IF(Data!M88="","",Data!M88),"")</x:f>
        <x:v>Matched</x:v>
      </x:c>
      <x:c r="N88" t="str">
        <x:f>IF(Data!$P88="High",IF(Data!N88="","",Data!N88),"")</x:f>
        <x:v>OK</x:v>
      </x:c>
      <x:c r="O88" s="100" t="n">
        <x:f>IF(Data!$P88="High",Data!O88,"")</x:f>
        <x:v>45</x:v>
      </x:c>
      <x:c r="P88" t="str">
        <x:f>IF(Data!$P88="High",IF(Data!P88="","",Data!P88),"")</x:f>
        <x:v>High</x:v>
      </x:c>
      <x:c r="Q88" t="str">
        <x:f>IF(Data!$P88="High",IF(Data!Q88="","",Data!Q88),"")</x:f>
        <x:v>Overdue; Approval issue</x:v>
      </x:c>
    </x:row>
    <x:row r="89">
      <x:c r="A89" t="str">
        <x:f>IF(Data!$P89="High",IF(Data!A89="","",Data!A89),"")</x:f>
        <x:v>AP-0088</x:v>
      </x:c>
      <x:c r="B89" t="str">
        <x:f>IF(Data!$P89="High",IF(Data!B89="","",Data!B89),"")</x:f>
        <x:v>Vendor 3</x:v>
      </x:c>
      <x:c r="C89" t="str">
        <x:f>IF(Data!$P89="High",IF(Data!C89="","",Data!C89),"")</x:f>
        <x:v>INV-26095</x:v>
      </x:c>
      <x:c r="D89" t="str">
        <x:f>IF(Data!$P89="High",IF(Data!D89="","",Data!D89),"")</x:f>
        <x:v>PO-1069</x:v>
      </x:c>
      <x:c r="E89" s="123" t="n">
        <x:f>IF(Data!$P89="High",IF(Data!E89="","",Data!E89),"")</x:f>
        <x:v>46182</x:v>
      </x:c>
      <x:c r="F89" s="123" t="n">
        <x:f>IF(Data!$P89="High",IF(Data!F89="","",Data!F89),"")</x:f>
        <x:v>46212</x:v>
      </x:c>
      <x:c r="G89" s="124" t="n">
        <x:f>IF(Data!$P89="High",IF(Data!G89="","",Data!G89),"")</x:f>
        <x:v>7595.97</x:v>
      </x:c>
      <x:c r="H89" s="124" t="n">
        <x:f>IF(Data!$P89="High",IF(Data!H89="","",Data!H89),"")</x:f>
        <x:v>987.48</x:v>
      </x:c>
      <x:c r="I89" s="124" t="n">
        <x:f>IF(Data!$P89="High",IF(Data!I89="","",Data!I89),"")</x:f>
        <x:v>8583.45</x:v>
      </x:c>
      <x:c r="J89" t="str">
        <x:f>IF(Data!$P89="High",IF(Data!J89="","",Data!J89),"")</x:f>
        <x:v>Unpaid</x:v>
      </x:c>
      <x:c r="K89" t="str">
        <x:f>IF(Data!$P89="High",IF(Data!K89="","",Data!K89),"")</x:f>
        <x:v>Rejected</x:v>
      </x:c>
      <x:c r="L89" t="str">
        <x:f>IF(Data!$P89="High",IF(Data!L89="","",Data!L89),"")</x:f>
        <x:v>OK</x:v>
      </x:c>
      <x:c r="M89" t="str">
        <x:f>IF(Data!$P89="High",IF(Data!M89="","",Data!M89),"")</x:f>
        <x:v>Matched</x:v>
      </x:c>
      <x:c r="N89" t="str">
        <x:f>IF(Data!$P89="High",IF(Data!N89="","",Data!N89),"")</x:f>
        <x:v>OK</x:v>
      </x:c>
      <x:c r="O89" s="100" t="n">
        <x:f>IF(Data!$P89="High",Data!O89,"")</x:f>
        <x:v>20</x:v>
      </x:c>
      <x:c r="P89" t="str">
        <x:f>IF(Data!$P89="High",IF(Data!P89="","",Data!P89),"")</x:f>
        <x:v>High</x:v>
      </x:c>
      <x:c r="Q89" t="str">
        <x:f>IF(Data!$P89="High",IF(Data!Q89="","",Data!Q89),"")</x:f>
        <x:v>Overdue; Approval issue</x:v>
      </x:c>
    </x:row>
    <x:row r="90">
      <x:c r="A90" t="str">
        <x:f>IF(Data!$P90="High",IF(Data!A90="","",Data!A90),"")</x:f>
        <x:v>AP-0089</x:v>
      </x:c>
      <x:c r="B90" t="str">
        <x:f>IF(Data!$P90="High",IF(Data!B90="","",Data!B90),"")</x:f>
        <x:v>Vendor 29</x:v>
      </x:c>
      <x:c r="C90" t="str">
        <x:f>IF(Data!$P90="High",IF(Data!C90="","",Data!C90),"")</x:f>
        <x:v>INV-49947</x:v>
      </x:c>
      <x:c r="D90" t="str">
        <x:f>IF(Data!$P90="High",IF(Data!D90="","",Data!D90),"")</x:f>
        <x:v>PO-1053</x:v>
      </x:c>
      <x:c r="E90" s="123" t="n">
        <x:f>IF(Data!$P90="High",IF(Data!E90="","",Data!E90),"")</x:f>
        <x:v>46145</x:v>
      </x:c>
      <x:c r="F90" s="123" t="n">
        <x:f>IF(Data!$P90="High",IF(Data!F90="","",Data!F90),"")</x:f>
        <x:v>46175</x:v>
      </x:c>
      <x:c r="G90" s="124" t="n">
        <x:f>IF(Data!$P90="High",IF(Data!G90="","",Data!G90),"")</x:f>
        <x:v>1904.99</x:v>
      </x:c>
      <x:c r="H90" s="124" t="n">
        <x:f>IF(Data!$P90="High",IF(Data!H90="","",Data!H90),"")</x:f>
        <x:v>250.8</x:v>
      </x:c>
      <x:c r="I90" s="124" t="n">
        <x:f>IF(Data!$P90="High",IF(Data!I90="","",Data!I90),"")</x:f>
        <x:v>2155.79</x:v>
      </x:c>
      <x:c r="J90" t="str">
        <x:f>IF(Data!$P90="High",IF(Data!J90="","",Data!J90),"")</x:f>
        <x:v>Paid</x:v>
      </x:c>
      <x:c r="K90" t="str">
        <x:f>IF(Data!$P90="High",IF(Data!K90="","",Data!K90),"")</x:f>
        <x:v>Rejected</x:v>
      </x:c>
      <x:c r="L90" t="str">
        <x:f>IF(Data!$P90="High",IF(Data!L90="","",Data!L90),"")</x:f>
        <x:v>OK</x:v>
      </x:c>
      <x:c r="M90" t="str">
        <x:f>IF(Data!$P90="High",IF(Data!M90="","",Data!M90),"")</x:f>
        <x:v>Matched</x:v>
      </x:c>
      <x:c r="N90" t="str">
        <x:f>IF(Data!$P90="High",IF(Data!N90="","",Data!N90),"")</x:f>
        <x:v>Review Tax</x:v>
      </x:c>
      <x:c r="O90" s="100" t="n">
        <x:f>IF(Data!$P90="High",Data!O90,"")</x:f>
        <x:v>0</x:v>
      </x:c>
      <x:c r="P90" t="str">
        <x:f>IF(Data!$P90="High",IF(Data!P90="","",Data!P90),"")</x:f>
        <x:v>High</x:v>
      </x:c>
      <x:c r="Q90" t="str">
        <x:f>IF(Data!$P90="High",IF(Data!Q90="","",Data!Q90),"")</x:f>
        <x:v>Tax variance; Approval issue</x:v>
      </x:c>
    </x:row>
    <x:row r="91">
      <x:c r="A91" t="str">
        <x:f>IF(Data!$P91="High",IF(Data!A91="","",Data!A91),"")</x:f>
        <x:v>AP-0090</x:v>
      </x:c>
      <x:c r="B91" t="str">
        <x:f>IF(Data!$P91="High",IF(Data!B91="","",Data!B91),"")</x:f>
        <x:v>Vendor 17</x:v>
      </x:c>
      <x:c r="C91" t="str">
        <x:f>IF(Data!$P91="High",IF(Data!C91="","",Data!C91),"")</x:f>
        <x:v>INV-38720</x:v>
      </x:c>
      <x:c r="D91" t="str">
        <x:f>IF(Data!$P91="High",IF(Data!D91="","",Data!D91),"")</x:f>
        <x:v>PO-1027</x:v>
      </x:c>
      <x:c r="E91" s="123" t="n">
        <x:f>IF(Data!$P91="High",IF(Data!E91="","",Data!E91),"")</x:f>
        <x:v>46183</x:v>
      </x:c>
      <x:c r="F91" s="123" t="n">
        <x:f>IF(Data!$P91="High",IF(Data!F91="","",Data!F91),"")</x:f>
        <x:v>46228</x:v>
      </x:c>
      <x:c r="G91" s="124" t="n">
        <x:f>IF(Data!$P91="High",IF(Data!G91="","",Data!G91),"")</x:f>
        <x:v>6600.83</x:v>
      </x:c>
      <x:c r="H91" s="124" t="n">
        <x:f>IF(Data!$P91="High",IF(Data!H91="","",Data!H91),"")</x:f>
        <x:v>858.11</x:v>
      </x:c>
      <x:c r="I91" s="124" t="n">
        <x:f>IF(Data!$P91="High",IF(Data!I91="","",Data!I91),"")</x:f>
        <x:v>7458.94</x:v>
      </x:c>
      <x:c r="J91" t="str">
        <x:f>IF(Data!$P91="High",IF(Data!J91="","",Data!J91),"")</x:f>
        <x:v>On Hold</x:v>
      </x:c>
      <x:c r="K91" t="str">
        <x:f>IF(Data!$P91="High",IF(Data!K91="","",Data!K91),"")</x:f>
        <x:v>Pending</x:v>
      </x:c>
      <x:c r="L91" t="str">
        <x:f>IF(Data!$P91="High",IF(Data!L91="","",Data!L91),"")</x:f>
        <x:v>OK</x:v>
      </x:c>
      <x:c r="M91" t="str">
        <x:f>IF(Data!$P91="High",IF(Data!M91="","",Data!M91),"")</x:f>
        <x:v>Matched</x:v>
      </x:c>
      <x:c r="N91" t="str">
        <x:f>IF(Data!$P91="High",IF(Data!N91="","",Data!N91),"")</x:f>
        <x:v>OK</x:v>
      </x:c>
      <x:c r="O91" s="100" t="n">
        <x:f>IF(Data!$P91="High",Data!O91,"")</x:f>
        <x:v>4</x:v>
      </x:c>
      <x:c r="P91" t="str">
        <x:f>IF(Data!$P91="High",IF(Data!P91="","",Data!P91),"")</x:f>
        <x:v>High</x:v>
      </x:c>
      <x:c r="Q91" t="str">
        <x:f>IF(Data!$P91="High",IF(Data!Q91="","",Data!Q91),"")</x:f>
        <x:v>Overdue; Approval issue</x:v>
      </x:c>
    </x:row>
    <x:row r="92">
      <x:c r="A92" t="str">
        <x:f>IF(Data!$P92="High",IF(Data!A92="","",Data!A92),"")</x:f>
        <x:v>AP-0091</x:v>
      </x:c>
      <x:c r="B92" t="str">
        <x:f>IF(Data!$P92="High",IF(Data!B92="","",Data!B92),"")</x:f>
        <x:v>Vendor 12</x:v>
      </x:c>
      <x:c r="C92" t="str">
        <x:f>IF(Data!$P92="High",IF(Data!C92="","",Data!C92),"")</x:f>
        <x:v>INV-38290</x:v>
      </x:c>
      <x:c r="D92" t="str">
        <x:f>IF(Data!$P92="High",IF(Data!D92="","",Data!D92),"")</x:f>
        <x:v>PO-1099</x:v>
      </x:c>
      <x:c r="E92" s="123" t="n">
        <x:f>IF(Data!$P92="High",IF(Data!E92="","",Data!E92),"")</x:f>
        <x:v>46187</x:v>
      </x:c>
      <x:c r="F92" s="123" t="n">
        <x:f>IF(Data!$P92="High",IF(Data!F92="","",Data!F92),"")</x:f>
        <x:v>46202</x:v>
      </x:c>
      <x:c r="G92" s="124" t="n">
        <x:f>IF(Data!$P92="High",IF(Data!G92="","",Data!G92),"")</x:f>
        <x:v>7829.33</x:v>
      </x:c>
      <x:c r="H92" s="124" t="n">
        <x:f>IF(Data!$P92="High",IF(Data!H92="","",Data!H92),"")</x:f>
        <x:v>1017.81</x:v>
      </x:c>
      <x:c r="I92" s="124" t="n">
        <x:f>IF(Data!$P92="High",IF(Data!I92="","",Data!I92),"")</x:f>
        <x:v>8847.14</x:v>
      </x:c>
      <x:c r="J92" t="str">
        <x:f>IF(Data!$P92="High",IF(Data!J92="","",Data!J92),"")</x:f>
        <x:v>On Hold</x:v>
      </x:c>
      <x:c r="K92" t="str">
        <x:f>IF(Data!$P92="High",IF(Data!K92="","",Data!K92),"")</x:f>
        <x:v>Rejected</x:v>
      </x:c>
      <x:c r="L92" t="str">
        <x:f>IF(Data!$P92="High",IF(Data!L92="","",Data!L92),"")</x:f>
        <x:v>OK</x:v>
      </x:c>
      <x:c r="M92" t="str">
        <x:f>IF(Data!$P92="High",IF(Data!M92="","",Data!M92),"")</x:f>
        <x:v>Matched</x:v>
      </x:c>
      <x:c r="N92" t="str">
        <x:f>IF(Data!$P92="High",IF(Data!N92="","",Data!N92),"")</x:f>
        <x:v>OK</x:v>
      </x:c>
      <x:c r="O92" s="100" t="n">
        <x:f>IF(Data!$P92="High",Data!O92,"")</x:f>
        <x:v>30</x:v>
      </x:c>
      <x:c r="P92" t="str">
        <x:f>IF(Data!$P92="High",IF(Data!P92="","",Data!P92),"")</x:f>
        <x:v>High</x:v>
      </x:c>
      <x:c r="Q92" t="str">
        <x:f>IF(Data!$P92="High",IF(Data!Q92="","",Data!Q92),"")</x:f>
        <x:v>Overdue; Approval issue</x:v>
      </x:c>
    </x:row>
    <x:row r="93">
      <x:c r="A93" t="str">
        <x:f>IF(Data!$P93="High",IF(Data!A93="","",Data!A93),"")</x:f>
        <x:v>AP-0092</x:v>
      </x:c>
      <x:c r="B93" t="str">
        <x:f>IF(Data!$P93="High",IF(Data!B93="","",Data!B93),"")</x:f>
        <x:v>Vendor 9</x:v>
      </x:c>
      <x:c r="C93" t="str">
        <x:f>IF(Data!$P93="High",IF(Data!C93="","",Data!C93),"")</x:f>
        <x:v>INV-43341</x:v>
      </x:c>
      <x:c r="D93" t="str">
        <x:f>IF(Data!$P93="High",IF(Data!D93="","",Data!D93),"")</x:f>
      </x:c>
      <x:c r="E93" s="123" t="n">
        <x:f>IF(Data!$P93="High",IF(Data!E93="","",Data!E93),"")</x:f>
        <x:v>46146</x:v>
      </x:c>
      <x:c r="F93" s="123" t="n">
        <x:f>IF(Data!$P93="High",IF(Data!F93="","",Data!F93),"")</x:f>
        <x:v>46161</x:v>
      </x:c>
      <x:c r="G93" s="124" t="n">
        <x:f>IF(Data!$P93="High",IF(Data!G93="","",Data!G93),"")</x:f>
        <x:v>1570.9</x:v>
      </x:c>
      <x:c r="H93" s="124" t="n">
        <x:f>IF(Data!$P93="High",IF(Data!H93="","",Data!H93),"")</x:f>
        <x:v>204.22</x:v>
      </x:c>
      <x:c r="I93" s="124" t="n">
        <x:f>IF(Data!$P93="High",IF(Data!I93="","",Data!I93),"")</x:f>
        <x:v>1775.1200000000001</x:v>
      </x:c>
      <x:c r="J93" t="str">
        <x:f>IF(Data!$P93="High",IF(Data!J93="","",Data!J93),"")</x:f>
        <x:v>Paid</x:v>
      </x:c>
      <x:c r="K93" t="str">
        <x:f>IF(Data!$P93="High",IF(Data!K93="","",Data!K93),"")</x:f>
        <x:v>Approved</x:v>
      </x:c>
      <x:c r="L93" t="str">
        <x:f>IF(Data!$P93="High",IF(Data!L93="","",Data!L93),"")</x:f>
        <x:v>OK</x:v>
      </x:c>
      <x:c r="M93" t="str">
        <x:f>IF(Data!$P93="High",IF(Data!M93="","",Data!M93),"")</x:f>
        <x:v>Missing PO</x:v>
      </x:c>
      <x:c r="N93" t="str">
        <x:f>IF(Data!$P93="High",IF(Data!N93="","",Data!N93),"")</x:f>
        <x:v>OK</x:v>
      </x:c>
      <x:c r="O93" s="100" t="n">
        <x:f>IF(Data!$P93="High",Data!O93,"")</x:f>
        <x:v>0</x:v>
      </x:c>
      <x:c r="P93" t="str">
        <x:f>IF(Data!$P93="High",IF(Data!P93="","",Data!P93),"")</x:f>
        <x:v>High</x:v>
      </x:c>
      <x:c r="Q93" t="str">
        <x:f>IF(Data!$P93="High",IF(Data!Q93="","",Data!Q93),"")</x:f>
        <x:v>Missing PO</x:v>
      </x:c>
    </x:row>
    <x:row r="94">
      <x:c r="A94" t="str">
        <x:f>IF(Data!$P94="High",IF(Data!A94="","",Data!A94),"")</x:f>
        <x:v>AP-0093</x:v>
      </x:c>
      <x:c r="B94" t="str">
        <x:f>IF(Data!$P94="High",IF(Data!B94="","",Data!B94),"")</x:f>
        <x:v>Vendor 1</x:v>
      </x:c>
      <x:c r="C94" t="str">
        <x:f>IF(Data!$P94="High",IF(Data!C94="","",Data!C94),"")</x:f>
        <x:v>INV-37728</x:v>
      </x:c>
      <x:c r="D94" t="str">
        <x:f>IF(Data!$P94="High",IF(Data!D94="","",Data!D94),"")</x:f>
        <x:v>PO-1073</x:v>
      </x:c>
      <x:c r="E94" s="123" t="n">
        <x:f>IF(Data!$P94="High",IF(Data!E94="","",Data!E94),"")</x:f>
        <x:v>46146</x:v>
      </x:c>
      <x:c r="F94" s="123" t="n">
        <x:f>IF(Data!$P94="High",IF(Data!F94="","",Data!F94),"")</x:f>
        <x:v>46191</x:v>
      </x:c>
      <x:c r="G94" s="124" t="n">
        <x:f>IF(Data!$P94="High",IF(Data!G94="","",Data!G94),"")</x:f>
        <x:v>9031.05</x:v>
      </x:c>
      <x:c r="H94" s="124" t="n">
        <x:f>IF(Data!$P94="High",IF(Data!H94="","",Data!H94),"")</x:f>
        <x:v>1174.04</x:v>
      </x:c>
      <x:c r="I94" s="124" t="n">
        <x:f>IF(Data!$P94="High",IF(Data!I94="","",Data!I94),"")</x:f>
        <x:v>10205.09</x:v>
      </x:c>
      <x:c r="J94" t="str">
        <x:f>IF(Data!$P94="High",IF(Data!J94="","",Data!J94),"")</x:f>
        <x:v>Unpaid</x:v>
      </x:c>
      <x:c r="K94" t="str">
        <x:f>IF(Data!$P94="High",IF(Data!K94="","",Data!K94),"")</x:f>
        <x:v>Pending</x:v>
      </x:c>
      <x:c r="L94" t="str">
        <x:f>IF(Data!$P94="High",IF(Data!L94="","",Data!L94),"")</x:f>
        <x:v>OK</x:v>
      </x:c>
      <x:c r="M94" t="str">
        <x:f>IF(Data!$P94="High",IF(Data!M94="","",Data!M94),"")</x:f>
        <x:v>Matched</x:v>
      </x:c>
      <x:c r="N94" t="str">
        <x:f>IF(Data!$P94="High",IF(Data!N94="","",Data!N94),"")</x:f>
        <x:v>OK</x:v>
      </x:c>
      <x:c r="O94" s="100" t="n">
        <x:f>IF(Data!$P94="High",Data!O94,"")</x:f>
        <x:v>41</x:v>
      </x:c>
      <x:c r="P94" t="str">
        <x:f>IF(Data!$P94="High",IF(Data!P94="","",Data!P94),"")</x:f>
        <x:v>High</x:v>
      </x:c>
      <x:c r="Q94" t="str">
        <x:f>IF(Data!$P94="High",IF(Data!Q94="","",Data!Q94),"")</x:f>
        <x:v>Overdue; Approval issue</x:v>
      </x:c>
    </x:row>
    <x:row r="95">
      <x:c r="A95" t="str">
        <x:f>IF(Data!$P95="High",IF(Data!A95="","",Data!A95),"")</x:f>
        <x:v>AP-0094</x:v>
      </x:c>
      <x:c r="B95" t="str">
        <x:f>IF(Data!$P95="High",IF(Data!B95="","",Data!B95),"")</x:f>
        <x:v>Vendor 5</x:v>
      </x:c>
      <x:c r="C95" t="str">
        <x:f>IF(Data!$P95="High",IF(Data!C95="","",Data!C95),"")</x:f>
        <x:v>INV-26645</x:v>
      </x:c>
      <x:c r="D95" t="str">
        <x:f>IF(Data!$P95="High",IF(Data!D95="","",Data!D95),"")</x:f>
        <x:v>PO-1005</x:v>
      </x:c>
      <x:c r="E95" s="123" t="n">
        <x:f>IF(Data!$P95="High",IF(Data!E95="","",Data!E95),"")</x:f>
        <x:v>46175</x:v>
      </x:c>
      <x:c r="F95" s="123" t="n">
        <x:f>IF(Data!$P95="High",IF(Data!F95="","",Data!F95),"")</x:f>
        <x:v>46220</x:v>
      </x:c>
      <x:c r="G95" s="124" t="n">
        <x:f>IF(Data!$P95="High",IF(Data!G95="","",Data!G95),"")</x:f>
        <x:v>8164.58</x:v>
      </x:c>
      <x:c r="H95" s="124" t="n">
        <x:f>IF(Data!$P95="High",IF(Data!H95="","",Data!H95),"")</x:f>
        <x:v>1061.4</x:v>
      </x:c>
      <x:c r="I95" s="124" t="n">
        <x:f>IF(Data!$P95="High",IF(Data!I95="","",Data!I95),"")</x:f>
        <x:v>9225.98</x:v>
      </x:c>
      <x:c r="J95" t="str">
        <x:f>IF(Data!$P95="High",IF(Data!J95="","",Data!J95),"")</x:f>
        <x:v>On Hold</x:v>
      </x:c>
      <x:c r="K95" t="str">
        <x:f>IF(Data!$P95="High",IF(Data!K95="","",Data!K95),"")</x:f>
        <x:v>Pending</x:v>
      </x:c>
      <x:c r="L95" t="str">
        <x:f>IF(Data!$P95="High",IF(Data!L95="","",Data!L95),"")</x:f>
        <x:v>OK</x:v>
      </x:c>
      <x:c r="M95" t="str">
        <x:f>IF(Data!$P95="High",IF(Data!M95="","",Data!M95),"")</x:f>
        <x:v>Matched</x:v>
      </x:c>
      <x:c r="N95" t="str">
        <x:f>IF(Data!$P95="High",IF(Data!N95="","",Data!N95),"")</x:f>
        <x:v>OK</x:v>
      </x:c>
      <x:c r="O95" s="100" t="n">
        <x:f>IF(Data!$P95="High",Data!O95,"")</x:f>
        <x:v>12</x:v>
      </x:c>
      <x:c r="P95" t="str">
        <x:f>IF(Data!$P95="High",IF(Data!P95="","",Data!P95),"")</x:f>
        <x:v>High</x:v>
      </x:c>
      <x:c r="Q95" t="str">
        <x:f>IF(Data!$P95="High",IF(Data!Q95="","",Data!Q95),"")</x:f>
        <x:v>Overdue; Approval issue</x:v>
      </x:c>
    </x:row>
    <x:row r="96">
      <x:c r="A96" t="str">
        <x:f>IF(Data!$P96="High",IF(Data!A96="","",Data!A96),"")</x:f>
        <x:v>AP-0095</x:v>
      </x:c>
      <x:c r="B96" t="str">
        <x:f>IF(Data!$P96="High",IF(Data!B96="","",Data!B96),"")</x:f>
        <x:v>Vendor 25</x:v>
      </x:c>
      <x:c r="C96" t="str">
        <x:f>IF(Data!$P96="High",IF(Data!C96="","",Data!C96),"")</x:f>
        <x:v>INV-38511</x:v>
      </x:c>
      <x:c r="D96" t="str">
        <x:f>IF(Data!$P96="High",IF(Data!D96="","",Data!D96),"")</x:f>
        <x:v>PO-1049</x:v>
      </x:c>
      <x:c r="E96" s="123" t="n">
        <x:f>IF(Data!$P96="High",IF(Data!E96="","",Data!E96),"")</x:f>
        <x:v>46191</x:v>
      </x:c>
      <x:c r="F96" s="123" t="n">
        <x:f>IF(Data!$P96="High",IF(Data!F96="","",Data!F96),"")</x:f>
        <x:v>46236</x:v>
      </x:c>
      <x:c r="G96" s="124" t="n">
        <x:f>IF(Data!$P96="High",IF(Data!G96="","",Data!G96),"")</x:f>
        <x:v>3309.73</x:v>
      </x:c>
      <x:c r="H96" s="124" t="n">
        <x:f>IF(Data!$P96="High",IF(Data!H96="","",Data!H96),"")</x:f>
        <x:v>430.26</x:v>
      </x:c>
      <x:c r="I96" s="124" t="n">
        <x:f>IF(Data!$P96="High",IF(Data!I96="","",Data!I96),"")</x:f>
        <x:v>3739.99</x:v>
      </x:c>
      <x:c r="J96" t="str">
        <x:f>IF(Data!$P96="High",IF(Data!J96="","",Data!J96),"")</x:f>
        <x:v>Paid</x:v>
      </x:c>
      <x:c r="K96" t="str">
        <x:f>IF(Data!$P96="High",IF(Data!K96="","",Data!K96),"")</x:f>
        <x:v>Rejected</x:v>
      </x:c>
      <x:c r="L96" t="str">
        <x:f>IF(Data!$P96="High",IF(Data!L96="","",Data!L96),"")</x:f>
        <x:v>OK</x:v>
      </x:c>
      <x:c r="M96" t="str">
        <x:f>IF(Data!$P96="High",IF(Data!M96="","",Data!M96),"")</x:f>
        <x:v>Matched</x:v>
      </x:c>
      <x:c r="N96" t="str">
        <x:f>IF(Data!$P96="High",IF(Data!N96="","",Data!N96),"")</x:f>
        <x:v>OK</x:v>
      </x:c>
      <x:c r="O96" s="100" t="n">
        <x:f>IF(Data!$P96="High",Data!O96,"")</x:f>
        <x:v>0</x:v>
      </x:c>
      <x:c r="P96" t="str">
        <x:f>IF(Data!$P96="High",IF(Data!P96="","",Data!P96),"")</x:f>
        <x:v>High</x:v>
      </x:c>
      <x:c r="Q96" t="str">
        <x:f>IF(Data!$P96="High",IF(Data!Q96="","",Data!Q96),"")</x:f>
        <x:v>Approval issue</x:v>
      </x:c>
    </x:row>
    <x:row r="97">
      <x:c r="A97" t="str">
        <x:f>IF(Data!$P97="High",IF(Data!A97="","",Data!A97),"")</x:f>
        <x:v>AP-0096</x:v>
      </x:c>
      <x:c r="B97" t="str">
        <x:f>IF(Data!$P97="High",IF(Data!B97="","",Data!B97),"")</x:f>
        <x:v>Vendor 17</x:v>
      </x:c>
      <x:c r="C97" t="str">
        <x:f>IF(Data!$P97="High",IF(Data!C97="","",Data!C97),"")</x:f>
        <x:v>INV-21251</x:v>
      </x:c>
      <x:c r="D97" t="str">
        <x:f>IF(Data!$P97="High",IF(Data!D97="","",Data!D97),"")</x:f>
      </x:c>
      <x:c r="E97" s="123" t="n">
        <x:f>IF(Data!$P97="High",IF(Data!E97="","",Data!E97),"")</x:f>
        <x:v>46169</x:v>
      </x:c>
      <x:c r="F97" s="123" t="n">
        <x:f>IF(Data!$P97="High",IF(Data!F97="","",Data!F97),"")</x:f>
        <x:v>46184</x:v>
      </x:c>
      <x:c r="G97" s="124" t="n">
        <x:f>IF(Data!$P97="High",IF(Data!G97="","",Data!G97),"")</x:f>
        <x:v>11086.44</x:v>
      </x:c>
      <x:c r="H97" s="124" t="n">
        <x:f>IF(Data!$P97="High",IF(Data!H97="","",Data!H97),"")</x:f>
        <x:v>1441.24</x:v>
      </x:c>
      <x:c r="I97" s="124" t="n">
        <x:f>IF(Data!$P97="High",IF(Data!I97="","",Data!I97),"")</x:f>
        <x:v>12527.68</x:v>
      </x:c>
      <x:c r="J97" t="str">
        <x:f>IF(Data!$P97="High",IF(Data!J97="","",Data!J97),"")</x:f>
        <x:v>Paid</x:v>
      </x:c>
      <x:c r="K97" t="str">
        <x:f>IF(Data!$P97="High",IF(Data!K97="","",Data!K97),"")</x:f>
        <x:v>Approved</x:v>
      </x:c>
      <x:c r="L97" t="str">
        <x:f>IF(Data!$P97="High",IF(Data!L97="","",Data!L97),"")</x:f>
        <x:v>OK</x:v>
      </x:c>
      <x:c r="M97" t="str">
        <x:f>IF(Data!$P97="High",IF(Data!M97="","",Data!M97),"")</x:f>
        <x:v>Missing PO</x:v>
      </x:c>
      <x:c r="N97" t="str">
        <x:f>IF(Data!$P97="High",IF(Data!N97="","",Data!N97),"")</x:f>
        <x:v>OK</x:v>
      </x:c>
      <x:c r="O97" s="100" t="n">
        <x:f>IF(Data!$P97="High",Data!O97,"")</x:f>
        <x:v>0</x:v>
      </x:c>
      <x:c r="P97" t="str">
        <x:f>IF(Data!$P97="High",IF(Data!P97="","",Data!P97),"")</x:f>
        <x:v>High</x:v>
      </x:c>
      <x:c r="Q97" t="str">
        <x:f>IF(Data!$P97="High",IF(Data!Q97="","",Data!Q97),"")</x:f>
        <x:v>Missing PO</x:v>
      </x:c>
    </x:row>
    <x:row r="98">
      <x:c r="A98" t="str">
        <x:f>IF(Data!$P98="High",IF(Data!A98="","",Data!A98),"")</x:f>
        <x:v>AP-0097</x:v>
      </x:c>
      <x:c r="B98" t="str">
        <x:f>IF(Data!$P98="High",IF(Data!B98="","",Data!B98),"")</x:f>
        <x:v>Vendor 18</x:v>
      </x:c>
      <x:c r="C98" t="str">
        <x:f>IF(Data!$P98="High",IF(Data!C98="","",Data!C98),"")</x:f>
        <x:v>INV-47748</x:v>
      </x:c>
      <x:c r="D98" t="str">
        <x:f>IF(Data!$P98="High",IF(Data!D98="","",Data!D98),"")</x:f>
      </x:c>
      <x:c r="E98" s="123" t="n">
        <x:f>IF(Data!$P98="High",IF(Data!E98="","",Data!E98),"")</x:f>
        <x:v>46198</x:v>
      </x:c>
      <x:c r="F98" s="123" t="n">
        <x:f>IF(Data!$P98="High",IF(Data!F98="","",Data!F98),"")</x:f>
        <x:v>46228</x:v>
      </x:c>
      <x:c r="G98" s="124" t="n">
        <x:f>IF(Data!$P98="High",IF(Data!G98="","",Data!G98),"")</x:f>
        <x:v>7305.16</x:v>
      </x:c>
      <x:c r="H98" s="124" t="n">
        <x:f>IF(Data!$P98="High",IF(Data!H98="","",Data!H98),"")</x:f>
        <x:v>949.67</x:v>
      </x:c>
      <x:c r="I98" s="124" t="n">
        <x:f>IF(Data!$P98="High",IF(Data!I98="","",Data!I98),"")</x:f>
        <x:v>8254.83</x:v>
      </x:c>
      <x:c r="J98" t="str">
        <x:f>IF(Data!$P98="High",IF(Data!J98="","",Data!J98),"")</x:f>
        <x:v>On Hold</x:v>
      </x:c>
      <x:c r="K98" t="str">
        <x:f>IF(Data!$P98="High",IF(Data!K98="","",Data!K98),"")</x:f>
        <x:v>Rejected</x:v>
      </x:c>
      <x:c r="L98" t="str">
        <x:f>IF(Data!$P98="High",IF(Data!L98="","",Data!L98),"")</x:f>
        <x:v>OK</x:v>
      </x:c>
      <x:c r="M98" t="str">
        <x:f>IF(Data!$P98="High",IF(Data!M98="","",Data!M98),"")</x:f>
        <x:v>Missing PO</x:v>
      </x:c>
      <x:c r="N98" t="str">
        <x:f>IF(Data!$P98="High",IF(Data!N98="","",Data!N98),"")</x:f>
        <x:v>OK</x:v>
      </x:c>
      <x:c r="O98" s="100" t="n">
        <x:f>IF(Data!$P98="High",Data!O98,"")</x:f>
        <x:v>4</x:v>
      </x:c>
      <x:c r="P98" t="str">
        <x:f>IF(Data!$P98="High",IF(Data!P98="","",Data!P98),"")</x:f>
        <x:v>High</x:v>
      </x:c>
      <x:c r="Q98" t="str">
        <x:f>IF(Data!$P98="High",IF(Data!Q98="","",Data!Q98),"")</x:f>
        <x:v>Missing PO; Overdue; Approval issue</x:v>
      </x:c>
    </x:row>
    <x:row r="99">
      <x:c r="A99" t="str">
        <x:f>IF(Data!$P99="High",IF(Data!A99="","",Data!A99),"")</x:f>
      </x:c>
      <x:c r="B99" t="str">
        <x:f>IF(Data!$P99="High",IF(Data!B99="","",Data!B99),"")</x:f>
      </x:c>
      <x:c r="C99" t="str">
        <x:f>IF(Data!$P99="High",IF(Data!C99="","",Data!C99),"")</x:f>
      </x:c>
      <x:c r="D99" t="str">
        <x:f>IF(Data!$P99="High",IF(Data!D99="","",Data!D99),"")</x:f>
      </x:c>
      <x:c r="E99" s="123" t="str">
        <x:f>IF(Data!$P99="High",IF(Data!E99="","",Data!E99),"")</x:f>
      </x:c>
      <x:c r="F99" s="123" t="str">
        <x:f>IF(Data!$P99="High",IF(Data!F99="","",Data!F99),"")</x:f>
      </x:c>
      <x:c r="G99" s="124" t="str">
        <x:f>IF(Data!$P99="High",IF(Data!G99="","",Data!G99),"")</x:f>
      </x:c>
      <x:c r="H99" s="124" t="str">
        <x:f>IF(Data!$P99="High",IF(Data!H99="","",Data!H99),"")</x:f>
      </x:c>
      <x:c r="I99" s="124" t="str">
        <x:f>IF(Data!$P99="High",IF(Data!I99="","",Data!I99),"")</x:f>
      </x:c>
      <x:c r="J99" t="str">
        <x:f>IF(Data!$P99="High",IF(Data!J99="","",Data!J99),"")</x:f>
      </x:c>
      <x:c r="K99" t="str">
        <x:f>IF(Data!$P99="High",IF(Data!K99="","",Data!K99),"")</x:f>
      </x:c>
      <x:c r="L99" t="str">
        <x:f>IF(Data!$P99="High",IF(Data!L99="","",Data!L99),"")</x:f>
      </x:c>
      <x:c r="M99" t="str">
        <x:f>IF(Data!$P99="High",IF(Data!M99="","",Data!M99),"")</x:f>
      </x:c>
      <x:c r="N99" t="str">
        <x:f>IF(Data!$P99="High",IF(Data!N99="","",Data!N99),"")</x:f>
      </x:c>
      <x:c r="O99" s="100" t="str">
        <x:f>IF(Data!$P99="High",Data!O99,"")</x:f>
      </x:c>
      <x:c r="P99" t="str">
        <x:f>IF(Data!$P99="High",IF(Data!P99="","",Data!P99),"")</x:f>
      </x:c>
      <x:c r="Q99" t="str">
        <x:f>IF(Data!$P99="High",IF(Data!Q99="","",Data!Q99),"")</x:f>
      </x:c>
    </x:row>
    <x:row r="100">
      <x:c r="A100" t="str">
        <x:f>IF(Data!$P100="High",IF(Data!A100="","",Data!A100),"")</x:f>
        <x:v>AP-0099</x:v>
      </x:c>
      <x:c r="B100" t="str">
        <x:f>IF(Data!$P100="High",IF(Data!B100="","",Data!B100),"")</x:f>
        <x:v>Vendor 30</x:v>
      </x:c>
      <x:c r="C100" t="str">
        <x:f>IF(Data!$P100="High",IF(Data!C100="","",Data!C100),"")</x:f>
        <x:v>INV-45203</x:v>
      </x:c>
      <x:c r="D100" t="str">
        <x:f>IF(Data!$P100="High",IF(Data!D100="","",Data!D100),"")</x:f>
        <x:v>PO-1044</x:v>
      </x:c>
      <x:c r="E100" s="123" t="n">
        <x:f>IF(Data!$P100="High",IF(Data!E100="","",Data!E100),"")</x:f>
        <x:v>46195</x:v>
      </x:c>
      <x:c r="F100" s="123" t="n">
        <x:f>IF(Data!$P100="High",IF(Data!F100="","",Data!F100),"")</x:f>
        <x:v>46225</x:v>
      </x:c>
      <x:c r="G100" s="124" t="n">
        <x:f>IF(Data!$P100="High",IF(Data!G100="","",Data!G100),"")</x:f>
        <x:v>9418.33</x:v>
      </x:c>
      <x:c r="H100" s="124" t="n">
        <x:f>IF(Data!$P100="High",IF(Data!H100="","",Data!H100),"")</x:f>
        <x:v>1230.66</x:v>
      </x:c>
      <x:c r="I100" s="124" t="n">
        <x:f>IF(Data!$P100="High",IF(Data!I100="","",Data!I100),"")</x:f>
        <x:v>10648.99</x:v>
      </x:c>
      <x:c r="J100" t="str">
        <x:f>IF(Data!$P100="High",IF(Data!J100="","",Data!J100),"")</x:f>
        <x:v>On Hold</x:v>
      </x:c>
      <x:c r="K100" t="str">
        <x:f>IF(Data!$P100="High",IF(Data!K100="","",Data!K100),"")</x:f>
        <x:v>Approved</x:v>
      </x:c>
      <x:c r="L100" t="str">
        <x:f>IF(Data!$P100="High",IF(Data!L100="","",Data!L100),"")</x:f>
        <x:v>OK</x:v>
      </x:c>
      <x:c r="M100" t="str">
        <x:f>IF(Data!$P100="High",IF(Data!M100="","",Data!M100),"")</x:f>
        <x:v>Matched</x:v>
      </x:c>
      <x:c r="N100" t="str">
        <x:f>IF(Data!$P100="High",IF(Data!N100="","",Data!N100),"")</x:f>
        <x:v>Review Tax</x:v>
      </x:c>
      <x:c r="O100" s="100" t="n">
        <x:f>IF(Data!$P100="High",Data!O100,"")</x:f>
        <x:v>7</x:v>
      </x:c>
      <x:c r="P100" t="str">
        <x:f>IF(Data!$P100="High",IF(Data!P100="","",Data!P100),"")</x:f>
        <x:v>High</x:v>
      </x:c>
      <x:c r="Q100" t="str">
        <x:f>IF(Data!$P100="High",IF(Data!Q100="","",Data!Q100),"")</x:f>
        <x:v>Tax variance; Overdue</x:v>
      </x:c>
    </x:row>
    <x:row r="101">
      <x:c r="A101" t="str">
        <x:f>IF(Data!$P101="High",IF(Data!A101="","",Data!A101),"")</x:f>
        <x:v>AP-0100</x:v>
      </x:c>
      <x:c r="B101" t="str">
        <x:f>IF(Data!$P101="High",IF(Data!B101="","",Data!B101),"")</x:f>
        <x:v>Vendor 6</x:v>
      </x:c>
      <x:c r="C101" t="str">
        <x:f>IF(Data!$P101="High",IF(Data!C101="","",Data!C101),"")</x:f>
        <x:v>INV-31983</x:v>
      </x:c>
      <x:c r="D101" t="str">
        <x:f>IF(Data!$P101="High",IF(Data!D101="","",Data!D101),"")</x:f>
        <x:v>PO-1019</x:v>
      </x:c>
      <x:c r="E101" s="123" t="n">
        <x:f>IF(Data!$P101="High",IF(Data!E101="","",Data!E101),"")</x:f>
        <x:v>46165</x:v>
      </x:c>
      <x:c r="F101" s="123" t="n">
        <x:f>IF(Data!$P101="High",IF(Data!F101="","",Data!F101),"")</x:f>
        <x:v>46180</x:v>
      </x:c>
      <x:c r="G101" s="124" t="n">
        <x:f>IF(Data!$P101="High",IF(Data!G101="","",Data!G101),"")</x:f>
        <x:v>11579.34</x:v>
      </x:c>
      <x:c r="H101" s="124" t="n">
        <x:f>IF(Data!$P101="High",IF(Data!H101="","",Data!H101),"")</x:f>
        <x:v>1505.31</x:v>
      </x:c>
      <x:c r="I101" s="124" t="n">
        <x:f>IF(Data!$P101="High",IF(Data!I101="","",Data!I101),"")</x:f>
        <x:v>13084.65</x:v>
      </x:c>
      <x:c r="J101" t="str">
        <x:f>IF(Data!$P101="High",IF(Data!J101="","",Data!J101),"")</x:f>
        <x:v>On Hold</x:v>
      </x:c>
      <x:c r="K101" t="str">
        <x:f>IF(Data!$P101="High",IF(Data!K101="","",Data!K101),"")</x:f>
        <x:v>Pending</x:v>
      </x:c>
      <x:c r="L101" t="str">
        <x:f>IF(Data!$P101="High",IF(Data!L101="","",Data!L101),"")</x:f>
        <x:v>OK</x:v>
      </x:c>
      <x:c r="M101" t="str">
        <x:f>IF(Data!$P101="High",IF(Data!M101="","",Data!M101),"")</x:f>
        <x:v>Matched</x:v>
      </x:c>
      <x:c r="N101" t="str">
        <x:f>IF(Data!$P101="High",IF(Data!N101="","",Data!N101),"")</x:f>
        <x:v>OK</x:v>
      </x:c>
      <x:c r="O101" s="100" t="n">
        <x:f>IF(Data!$P101="High",Data!O101,"")</x:f>
        <x:v>52</x:v>
      </x:c>
      <x:c r="P101" t="str">
        <x:f>IF(Data!$P101="High",IF(Data!P101="","",Data!P101),"")</x:f>
        <x:v>High</x:v>
      </x:c>
      <x:c r="Q101" t="str">
        <x:f>IF(Data!$P101="High",IF(Data!Q101="","",Data!Q101),"")</x:f>
        <x:v>Overdue; Approval issue</x:v>
      </x:c>
    </x:row>
    <x:row r="102">
      <x:c r="A102" t="str">
        <x:f>IF(Data!$P102="High",IF(Data!A102="","",Data!A102),"")</x:f>
        <x:v>AP-0101</x:v>
      </x:c>
      <x:c r="B102" t="str">
        <x:f>IF(Data!$P102="High",IF(Data!B102="","",Data!B102),"")</x:f>
        <x:v>Vendor 2</x:v>
      </x:c>
      <x:c r="C102" t="str">
        <x:f>IF(Data!$P102="High",IF(Data!C102="","",Data!C102),"")</x:f>
        <x:v>INV-39649</x:v>
      </x:c>
      <x:c r="D102" t="str">
        <x:f>IF(Data!$P102="High",IF(Data!D102="","",Data!D102),"")</x:f>
        <x:v>PO-1019</x:v>
      </x:c>
      <x:c r="E102" s="123" t="n">
        <x:f>IF(Data!$P102="High",IF(Data!E102="","",Data!E102),"")</x:f>
        <x:v>46154</x:v>
      </x:c>
      <x:c r="F102" s="123" t="n">
        <x:f>IF(Data!$P102="High",IF(Data!F102="","",Data!F102),"")</x:f>
        <x:v>46184</x:v>
      </x:c>
      <x:c r="G102" s="124" t="n">
        <x:f>IF(Data!$P102="High",IF(Data!G102="","",Data!G102),"")</x:f>
        <x:v>8418.15</x:v>
      </x:c>
      <x:c r="H102" s="124" t="n">
        <x:f>IF(Data!$P102="High",IF(Data!H102="","",Data!H102),"")</x:f>
        <x:v>1091.2</x:v>
      </x:c>
      <x:c r="I102" s="124" t="n">
        <x:f>IF(Data!$P102="High",IF(Data!I102="","",Data!I102),"")</x:f>
        <x:v>9509.35</x:v>
      </x:c>
      <x:c r="J102" t="str">
        <x:f>IF(Data!$P102="High",IF(Data!J102="","",Data!J102),"")</x:f>
        <x:v>Paid</x:v>
      </x:c>
      <x:c r="K102" t="str">
        <x:f>IF(Data!$P102="High",IF(Data!K102="","",Data!K102),"")</x:f>
        <x:v>Approved</x:v>
      </x:c>
      <x:c r="L102" t="str">
        <x:f>IF(Data!$P102="High",IF(Data!L102="","",Data!L102),"")</x:f>
        <x:v>OK</x:v>
      </x:c>
      <x:c r="M102" t="str">
        <x:f>IF(Data!$P102="High",IF(Data!M102="","",Data!M102),"")</x:f>
        <x:v>Matched</x:v>
      </x:c>
      <x:c r="N102" t="str">
        <x:f>IF(Data!$P102="High",IF(Data!N102="","",Data!N102),"")</x:f>
        <x:v>Review Tax</x:v>
      </x:c>
      <x:c r="O102" s="100" t="n">
        <x:f>IF(Data!$P102="High",Data!O102,"")</x:f>
        <x:v>0</x:v>
      </x:c>
      <x:c r="P102" t="str">
        <x:f>IF(Data!$P102="High",IF(Data!P102="","",Data!P102),"")</x:f>
        <x:v>High</x:v>
      </x:c>
      <x:c r="Q102" t="str">
        <x:f>IF(Data!$P102="High",IF(Data!Q102="","",Data!Q102),"")</x:f>
        <x:v>Tax variance</x:v>
      </x:c>
    </x:row>
    <x:row r="103">
      <x:c r="A103" t="str">
        <x:f>IF(Data!$P103="High",IF(Data!A103="","",Data!A103),"")</x:f>
        <x:v>AP-0102</x:v>
      </x:c>
      <x:c r="B103" t="str">
        <x:f>IF(Data!$P103="High",IF(Data!B103="","",Data!B103),"")</x:f>
        <x:v>Vendor 27</x:v>
      </x:c>
      <x:c r="C103" t="str">
        <x:f>IF(Data!$P103="High",IF(Data!C103="","",Data!C103),"")</x:f>
        <x:v>INV-29914</x:v>
      </x:c>
      <x:c r="D103" t="str">
        <x:f>IF(Data!$P103="High",IF(Data!D103="","",Data!D103),"")</x:f>
        <x:v>PO-1091</x:v>
      </x:c>
      <x:c r="E103" s="123" t="n">
        <x:f>IF(Data!$P103="High",IF(Data!E103="","",Data!E103),"")</x:f>
        <x:v>46184</x:v>
      </x:c>
      <x:c r="F103" s="123" t="n">
        <x:f>IF(Data!$P103="High",IF(Data!F103="","",Data!F103),"")</x:f>
        <x:v>46214</x:v>
      </x:c>
      <x:c r="G103" s="124" t="n">
        <x:f>IF(Data!$P103="High",IF(Data!G103="","",Data!G103),"")</x:f>
        <x:v>1872.13</x:v>
      </x:c>
      <x:c r="H103" s="124" t="n">
        <x:f>IF(Data!$P103="High",IF(Data!H103="","",Data!H103),"")</x:f>
        <x:v>249.99</x:v>
      </x:c>
      <x:c r="I103" s="124" t="n">
        <x:f>IF(Data!$P103="High",IF(Data!I103="","",Data!I103),"")</x:f>
        <x:v>2122.12</x:v>
      </x:c>
      <x:c r="J103" t="str">
        <x:f>IF(Data!$P103="High",IF(Data!J103="","",Data!J103),"")</x:f>
        <x:v>Paid</x:v>
      </x:c>
      <x:c r="K103" t="str">
        <x:f>IF(Data!$P103="High",IF(Data!K103="","",Data!K103),"")</x:f>
        <x:v>Approved</x:v>
      </x:c>
      <x:c r="L103" t="str">
        <x:f>IF(Data!$P103="High",IF(Data!L103="","",Data!L103),"")</x:f>
        <x:v>OK</x:v>
      </x:c>
      <x:c r="M103" t="str">
        <x:f>IF(Data!$P103="High",IF(Data!M103="","",Data!M103),"")</x:f>
        <x:v>Matched</x:v>
      </x:c>
      <x:c r="N103" t="str">
        <x:f>IF(Data!$P103="High",IF(Data!N103="","",Data!N103),"")</x:f>
        <x:v>Review Tax</x:v>
      </x:c>
      <x:c r="O103" s="100" t="n">
        <x:f>IF(Data!$P103="High",Data!O103,"")</x:f>
        <x:v>0</x:v>
      </x:c>
      <x:c r="P103" t="str">
        <x:f>IF(Data!$P103="High",IF(Data!P103="","",Data!P103),"")</x:f>
        <x:v>High</x:v>
      </x:c>
      <x:c r="Q103" t="str">
        <x:f>IF(Data!$P103="High",IF(Data!Q103="","",Data!Q103),"")</x:f>
        <x:v>Tax variance</x:v>
      </x:c>
    </x:row>
    <x:row r="104">
      <x:c r="A104" t="str">
        <x:f>IF(Data!$P104="High",IF(Data!A104="","",Data!A104),"")</x:f>
        <x:v>AP-0103</x:v>
      </x:c>
      <x:c r="B104" t="str">
        <x:f>IF(Data!$P104="High",IF(Data!B104="","",Data!B104),"")</x:f>
        <x:v>Vendor 22</x:v>
      </x:c>
      <x:c r="C104" t="str">
        <x:f>IF(Data!$P104="High",IF(Data!C104="","",Data!C104),"")</x:f>
        <x:v>INV-20302</x:v>
      </x:c>
      <x:c r="D104" t="str">
        <x:f>IF(Data!$P104="High",IF(Data!D104="","",Data!D104),"")</x:f>
        <x:v>PO-1073</x:v>
      </x:c>
      <x:c r="E104" s="123" t="n">
        <x:f>IF(Data!$P104="High",IF(Data!E104="","",Data!E104),"")</x:f>
        <x:v>46157</x:v>
      </x:c>
      <x:c r="F104" s="123" t="n">
        <x:f>IF(Data!$P104="High",IF(Data!F104="","",Data!F104),"")</x:f>
        <x:v>46172</x:v>
      </x:c>
      <x:c r="G104" s="124" t="n">
        <x:f>IF(Data!$P104="High",IF(Data!G104="","",Data!G104),"")</x:f>
        <x:v>7178.22</x:v>
      </x:c>
      <x:c r="H104" s="124" t="n">
        <x:f>IF(Data!$P104="High",IF(Data!H104="","",Data!H104),"")</x:f>
        <x:v>929.95</x:v>
      </x:c>
      <x:c r="I104" s="124" t="n">
        <x:f>IF(Data!$P104="High",IF(Data!I104="","",Data!I104),"")</x:f>
        <x:v>8108.17</x:v>
      </x:c>
      <x:c r="J104" t="str">
        <x:f>IF(Data!$P104="High",IF(Data!J104="","",Data!J104),"")</x:f>
        <x:v>Unpaid</x:v>
      </x:c>
      <x:c r="K104" t="str">
        <x:f>IF(Data!$P104="High",IF(Data!K104="","",Data!K104),"")</x:f>
        <x:v>Rejected</x:v>
      </x:c>
      <x:c r="L104" t="str">
        <x:f>IF(Data!$P104="High",IF(Data!L104="","",Data!L104),"")</x:f>
        <x:v>OK</x:v>
      </x:c>
      <x:c r="M104" t="str">
        <x:f>IF(Data!$P104="High",IF(Data!M104="","",Data!M104),"")</x:f>
        <x:v>Matched</x:v>
      </x:c>
      <x:c r="N104" t="str">
        <x:f>IF(Data!$P104="High",IF(Data!N104="","",Data!N104),"")</x:f>
        <x:v>Review Tax</x:v>
      </x:c>
      <x:c r="O104" s="100" t="n">
        <x:f>IF(Data!$P104="High",Data!O104,"")</x:f>
        <x:v>60</x:v>
      </x:c>
      <x:c r="P104" t="str">
        <x:f>IF(Data!$P104="High",IF(Data!P104="","",Data!P104),"")</x:f>
        <x:v>High</x:v>
      </x:c>
      <x:c r="Q104" t="str">
        <x:f>IF(Data!$P104="High",IF(Data!Q104="","",Data!Q104),"")</x:f>
        <x:v>Tax variance; Overdue; Approval issue</x:v>
      </x:c>
    </x:row>
    <x:row r="105">
      <x:c r="A105" t="str">
        <x:f>IF(Data!$P105="High",IF(Data!A105="","",Data!A105),"")</x:f>
        <x:v>AP-0104</x:v>
      </x:c>
      <x:c r="B105" t="str">
        <x:f>IF(Data!$P105="High",IF(Data!B105="","",Data!B105),"")</x:f>
        <x:v>Vendor 15</x:v>
      </x:c>
      <x:c r="C105" t="str">
        <x:f>IF(Data!$P105="High",IF(Data!C105="","",Data!C105),"")</x:f>
        <x:v>INV-43999</x:v>
      </x:c>
      <x:c r="D105" t="str">
        <x:f>IF(Data!$P105="High",IF(Data!D105="","",Data!D105),"")</x:f>
        <x:v>PO-1080</x:v>
      </x:c>
      <x:c r="E105" s="123" t="n">
        <x:f>IF(Data!$P105="High",IF(Data!E105="","",Data!E105),"")</x:f>
        <x:v>46182</x:v>
      </x:c>
      <x:c r="F105" s="123" t="n">
        <x:f>IF(Data!$P105="High",IF(Data!F105="","",Data!F105),"")</x:f>
        <x:v>46197</x:v>
      </x:c>
      <x:c r="G105" s="124" t="n">
        <x:f>IF(Data!$P105="High",IF(Data!G105="","",Data!G105),"")</x:f>
        <x:v>7214.87</x:v>
      </x:c>
      <x:c r="H105" s="124" t="n">
        <x:f>IF(Data!$P105="High",IF(Data!H105="","",Data!H105),"")</x:f>
        <x:v>937.93</x:v>
      </x:c>
      <x:c r="I105" s="124" t="n">
        <x:f>IF(Data!$P105="High",IF(Data!I105="","",Data!I105),"")</x:f>
        <x:v>8152.8</x:v>
      </x:c>
      <x:c r="J105" t="str">
        <x:f>IF(Data!$P105="High",IF(Data!J105="","",Data!J105),"")</x:f>
        <x:v>Unpaid</x:v>
      </x:c>
      <x:c r="K105" t="str">
        <x:f>IF(Data!$P105="High",IF(Data!K105="","",Data!K105),"")</x:f>
        <x:v>Approved</x:v>
      </x:c>
      <x:c r="L105" t="str">
        <x:f>IF(Data!$P105="High",IF(Data!L105="","",Data!L105),"")</x:f>
        <x:v>OK</x:v>
      </x:c>
      <x:c r="M105" t="str">
        <x:f>IF(Data!$P105="High",IF(Data!M105="","",Data!M105),"")</x:f>
        <x:v>Matched</x:v>
      </x:c>
      <x:c r="N105" t="str">
        <x:f>IF(Data!$P105="High",IF(Data!N105="","",Data!N105),"")</x:f>
        <x:v>OK</x:v>
      </x:c>
      <x:c r="O105" s="100" t="n">
        <x:f>IF(Data!$P105="High",Data!O105,"")</x:f>
        <x:v>35</x:v>
      </x:c>
      <x:c r="P105" t="str">
        <x:f>IF(Data!$P105="High",IF(Data!P105="","",Data!P105),"")</x:f>
        <x:v>High</x:v>
      </x:c>
      <x:c r="Q105" t="str">
        <x:f>IF(Data!$P105="High",IF(Data!Q105="","",Data!Q105),"")</x:f>
        <x:v>Overdue</x:v>
      </x:c>
    </x:row>
    <x:row r="106">
      <x:c r="A106" t="str">
        <x:f>IF(Data!$P106="High",IF(Data!A106="","",Data!A106),"")</x:f>
        <x:v>AP-0105</x:v>
      </x:c>
      <x:c r="B106" t="str">
        <x:f>IF(Data!$P106="High",IF(Data!B106="","",Data!B106),"")</x:f>
        <x:v>Vendor 16</x:v>
      </x:c>
      <x:c r="C106" t="str">
        <x:f>IF(Data!$P106="High",IF(Data!C106="","",Data!C106),"")</x:f>
        <x:v>INV-46436</x:v>
      </x:c>
      <x:c r="D106" t="str">
        <x:f>IF(Data!$P106="High",IF(Data!D106="","",Data!D106),"")</x:f>
      </x:c>
      <x:c r="E106" s="123" t="n">
        <x:f>IF(Data!$P106="High",IF(Data!E106="","",Data!E106),"")</x:f>
        <x:v>46173</x:v>
      </x:c>
      <x:c r="F106" s="123" t="n">
        <x:f>IF(Data!$P106="High",IF(Data!F106="","",Data!F106),"")</x:f>
        <x:v>46203</x:v>
      </x:c>
      <x:c r="G106" s="124" t="n">
        <x:f>IF(Data!$P106="High",IF(Data!G106="","",Data!G106),"")</x:f>
        <x:v>8920.08</x:v>
      </x:c>
      <x:c r="H106" s="124" t="n">
        <x:f>IF(Data!$P106="High",IF(Data!H106="","",Data!H106),"")</x:f>
        <x:v>1152.44</x:v>
      </x:c>
      <x:c r="I106" s="124" t="n">
        <x:f>IF(Data!$P106="High",IF(Data!I106="","",Data!I106),"")</x:f>
        <x:v>10072.52</x:v>
      </x:c>
      <x:c r="J106" t="str">
        <x:f>IF(Data!$P106="High",IF(Data!J106="","",Data!J106),"")</x:f>
        <x:v>Paid</x:v>
      </x:c>
      <x:c r="K106" t="str">
        <x:f>IF(Data!$P106="High",IF(Data!K106="","",Data!K106),"")</x:f>
        <x:v>Rejected</x:v>
      </x:c>
      <x:c r="L106" t="str">
        <x:f>IF(Data!$P106="High",IF(Data!L106="","",Data!L106),"")</x:f>
        <x:v>OK</x:v>
      </x:c>
      <x:c r="M106" t="str">
        <x:f>IF(Data!$P106="High",IF(Data!M106="","",Data!M106),"")</x:f>
        <x:v>Missing PO</x:v>
      </x:c>
      <x:c r="N106" t="str">
        <x:f>IF(Data!$P106="High",IF(Data!N106="","",Data!N106),"")</x:f>
        <x:v>Review Tax</x:v>
      </x:c>
      <x:c r="O106" s="100" t="n">
        <x:f>IF(Data!$P106="High",Data!O106,"")</x:f>
        <x:v>0</x:v>
      </x:c>
      <x:c r="P106" t="str">
        <x:f>IF(Data!$P106="High",IF(Data!P106="","",Data!P106),"")</x:f>
        <x:v>High</x:v>
      </x:c>
      <x:c r="Q106" t="str">
        <x:f>IF(Data!$P106="High",IF(Data!Q106="","",Data!Q106),"")</x:f>
        <x:v>Missing PO; Tax variance; Approval issue</x:v>
      </x:c>
    </x:row>
    <x:row r="107">
      <x:c r="A107" t="str">
        <x:f>IF(Data!$P107="High",IF(Data!A107="","",Data!A107),"")</x:f>
        <x:v>AP-0106</x:v>
      </x:c>
      <x:c r="B107" t="str">
        <x:f>IF(Data!$P107="High",IF(Data!B107="","",Data!B107),"")</x:f>
        <x:v>Vendor 2</x:v>
      </x:c>
      <x:c r="C107" t="str">
        <x:f>IF(Data!$P107="High",IF(Data!C107="","",Data!C107),"")</x:f>
        <x:v>INV-32511</x:v>
      </x:c>
      <x:c r="D107" t="str">
        <x:f>IF(Data!$P107="High",IF(Data!D107="","",Data!D107),"")</x:f>
      </x:c>
      <x:c r="E107" s="123" t="n">
        <x:f>IF(Data!$P107="High",IF(Data!E107="","",Data!E107),"")</x:f>
        <x:v>46170</x:v>
      </x:c>
      <x:c r="F107" s="123" t="n">
        <x:f>IF(Data!$P107="High",IF(Data!F107="","",Data!F107),"")</x:f>
        <x:v>46200</x:v>
      </x:c>
      <x:c r="G107" s="124" t="n">
        <x:f>IF(Data!$P107="High",IF(Data!G107="","",Data!G107),"")</x:f>
        <x:v>7376.64</x:v>
      </x:c>
      <x:c r="H107" s="124" t="n">
        <x:f>IF(Data!$P107="High",IF(Data!H107="","",Data!H107),"")</x:f>
        <x:v>958.96</x:v>
      </x:c>
      <x:c r="I107" s="124" t="n">
        <x:f>IF(Data!$P107="High",IF(Data!I107="","",Data!I107),"")</x:f>
        <x:v>8335.6</x:v>
      </x:c>
      <x:c r="J107" t="str">
        <x:f>IF(Data!$P107="High",IF(Data!J107="","",Data!J107),"")</x:f>
        <x:v>Unpaid</x:v>
      </x:c>
      <x:c r="K107" t="str">
        <x:f>IF(Data!$P107="High",IF(Data!K107="","",Data!K107),"")</x:f>
        <x:v>Rejected</x:v>
      </x:c>
      <x:c r="L107" t="str">
        <x:f>IF(Data!$P107="High",IF(Data!L107="","",Data!L107),"")</x:f>
        <x:v>OK</x:v>
      </x:c>
      <x:c r="M107" t="str">
        <x:f>IF(Data!$P107="High",IF(Data!M107="","",Data!M107),"")</x:f>
        <x:v>Missing PO</x:v>
      </x:c>
      <x:c r="N107" t="str">
        <x:f>IF(Data!$P107="High",IF(Data!N107="","",Data!N107),"")</x:f>
        <x:v>OK</x:v>
      </x:c>
      <x:c r="O107" s="100" t="n">
        <x:f>IF(Data!$P107="High",Data!O107,"")</x:f>
        <x:v>32</x:v>
      </x:c>
      <x:c r="P107" t="str">
        <x:f>IF(Data!$P107="High",IF(Data!P107="","",Data!P107),"")</x:f>
        <x:v>High</x:v>
      </x:c>
      <x:c r="Q107" t="str">
        <x:f>IF(Data!$P107="High",IF(Data!Q107="","",Data!Q107),"")</x:f>
        <x:v>Missing PO; Overdue; Approval issue</x:v>
      </x:c>
    </x:row>
    <x:row r="108">
      <x:c r="A108" t="str">
        <x:f>IF(Data!$P108="High",IF(Data!A108="","",Data!A108),"")</x:f>
      </x:c>
      <x:c r="B108" t="str">
        <x:f>IF(Data!$P108="High",IF(Data!B108="","",Data!B108),"")</x:f>
      </x:c>
      <x:c r="C108" t="str">
        <x:f>IF(Data!$P108="High",IF(Data!C108="","",Data!C108),"")</x:f>
      </x:c>
      <x:c r="D108" t="str">
        <x:f>IF(Data!$P108="High",IF(Data!D108="","",Data!D108),"")</x:f>
      </x:c>
      <x:c r="E108" s="123" t="str">
        <x:f>IF(Data!$P108="High",IF(Data!E108="","",Data!E108),"")</x:f>
      </x:c>
      <x:c r="F108" s="123" t="str">
        <x:f>IF(Data!$P108="High",IF(Data!F108="","",Data!F108),"")</x:f>
      </x:c>
      <x:c r="G108" s="124" t="str">
        <x:f>IF(Data!$P108="High",IF(Data!G108="","",Data!G108),"")</x:f>
      </x:c>
      <x:c r="H108" s="124" t="str">
        <x:f>IF(Data!$P108="High",IF(Data!H108="","",Data!H108),"")</x:f>
      </x:c>
      <x:c r="I108" s="124" t="str">
        <x:f>IF(Data!$P108="High",IF(Data!I108="","",Data!I108),"")</x:f>
      </x:c>
      <x:c r="J108" t="str">
        <x:f>IF(Data!$P108="High",IF(Data!J108="","",Data!J108),"")</x:f>
      </x:c>
      <x:c r="K108" t="str">
        <x:f>IF(Data!$P108="High",IF(Data!K108="","",Data!K108),"")</x:f>
      </x:c>
      <x:c r="L108" t="str">
        <x:f>IF(Data!$P108="High",IF(Data!L108="","",Data!L108),"")</x:f>
      </x:c>
      <x:c r="M108" t="str">
        <x:f>IF(Data!$P108="High",IF(Data!M108="","",Data!M108),"")</x:f>
      </x:c>
      <x:c r="N108" t="str">
        <x:f>IF(Data!$P108="High",IF(Data!N108="","",Data!N108),"")</x:f>
      </x:c>
      <x:c r="O108" s="100" t="str">
        <x:f>IF(Data!$P108="High",Data!O108,"")</x:f>
      </x:c>
      <x:c r="P108" t="str">
        <x:f>IF(Data!$P108="High",IF(Data!P108="","",Data!P108),"")</x:f>
      </x:c>
      <x:c r="Q108" t="str">
        <x:f>IF(Data!$P108="High",IF(Data!Q108="","",Data!Q108),"")</x:f>
      </x:c>
    </x:row>
    <x:row r="109">
      <x:c r="A109" t="str">
        <x:f>IF(Data!$P109="High",IF(Data!A109="","",Data!A109),"")</x:f>
        <x:v>AP-0108</x:v>
      </x:c>
      <x:c r="B109" t="str">
        <x:f>IF(Data!$P109="High",IF(Data!B109="","",Data!B109),"")</x:f>
        <x:v>Vendor 15</x:v>
      </x:c>
      <x:c r="C109" t="str">
        <x:f>IF(Data!$P109="High",IF(Data!C109="","",Data!C109),"")</x:f>
        <x:v>INV-44053</x:v>
      </x:c>
      <x:c r="D109" t="str">
        <x:f>IF(Data!$P109="High",IF(Data!D109="","",Data!D109),"")</x:f>
      </x:c>
      <x:c r="E109" s="123" t="n">
        <x:f>IF(Data!$P109="High",IF(Data!E109="","",Data!E109),"")</x:f>
        <x:v>46188</x:v>
      </x:c>
      <x:c r="F109" s="123" t="n">
        <x:f>IF(Data!$P109="High",IF(Data!F109="","",Data!F109),"")</x:f>
        <x:v>46233</x:v>
      </x:c>
      <x:c r="G109" s="124" t="n">
        <x:f>IF(Data!$P109="High",IF(Data!G109="","",Data!G109),"")</x:f>
        <x:v>6895.28</x:v>
      </x:c>
      <x:c r="H109" s="124" t="n">
        <x:f>IF(Data!$P109="High",IF(Data!H109="","",Data!H109),"")</x:f>
        <x:v>893.3</x:v>
      </x:c>
      <x:c r="I109" s="124" t="n">
        <x:f>IF(Data!$P109="High",IF(Data!I109="","",Data!I109),"")</x:f>
        <x:v>7788.58</x:v>
      </x:c>
      <x:c r="J109" t="str">
        <x:f>IF(Data!$P109="High",IF(Data!J109="","",Data!J109),"")</x:f>
        <x:v>On Hold</x:v>
      </x:c>
      <x:c r="K109" t="str">
        <x:f>IF(Data!$P109="High",IF(Data!K109="","",Data!K109),"")</x:f>
        <x:v>Rejected</x:v>
      </x:c>
      <x:c r="L109" t="str">
        <x:f>IF(Data!$P109="High",IF(Data!L109="","",Data!L109),"")</x:f>
        <x:v>Duplicate Risk</x:v>
      </x:c>
      <x:c r="M109" t="str">
        <x:f>IF(Data!$P109="High",IF(Data!M109="","",Data!M109),"")</x:f>
        <x:v>Missing PO</x:v>
      </x:c>
      <x:c r="N109" t="str">
        <x:f>IF(Data!$P109="High",IF(Data!N109="","",Data!N109),"")</x:f>
        <x:v>Review Tax</x:v>
      </x:c>
      <x:c r="O109" s="100" t="n">
        <x:f>IF(Data!$P109="High",Data!O109,"")</x:f>
        <x:v>0</x:v>
      </x:c>
      <x:c r="P109" t="str">
        <x:f>IF(Data!$P109="High",IF(Data!P109="","",Data!P109),"")</x:f>
        <x:v>High</x:v>
      </x:c>
      <x:c r="Q109" t="str">
        <x:f>IF(Data!$P109="High",IF(Data!Q109="","",Data!Q109),"")</x:f>
        <x:v>Duplicate risk; Missing PO; Tax variance; Approval issue</x:v>
      </x:c>
    </x:row>
    <x:row r="110">
      <x:c r="A110" t="str">
        <x:f>IF(Data!$P110="High",IF(Data!A110="","",Data!A110),"")</x:f>
        <x:v>AP-0109</x:v>
      </x:c>
      <x:c r="B110" t="str">
        <x:f>IF(Data!$P110="High",IF(Data!B110="","",Data!B110),"")</x:f>
        <x:v>Vendor 3</x:v>
      </x:c>
      <x:c r="C110" t="str">
        <x:f>IF(Data!$P110="High",IF(Data!C110="","",Data!C110),"")</x:f>
        <x:v>INV-36581</x:v>
      </x:c>
      <x:c r="D110" t="str">
        <x:f>IF(Data!$P110="High",IF(Data!D110="","",Data!D110),"")</x:f>
      </x:c>
      <x:c r="E110" s="123" t="n">
        <x:f>IF(Data!$P110="High",IF(Data!E110="","",Data!E110),"")</x:f>
        <x:v>46146</x:v>
      </x:c>
      <x:c r="F110" s="123" t="n">
        <x:f>IF(Data!$P110="High",IF(Data!F110="","",Data!F110),"")</x:f>
        <x:v>46191</x:v>
      </x:c>
      <x:c r="G110" s="124" t="n">
        <x:f>IF(Data!$P110="High",IF(Data!G110="","",Data!G110),"")</x:f>
        <x:v>6228.11</x:v>
      </x:c>
      <x:c r="H110" s="124" t="n">
        <x:f>IF(Data!$P110="High",IF(Data!H110="","",Data!H110),"")</x:f>
        <x:v>807.03</x:v>
      </x:c>
      <x:c r="I110" s="124" t="n">
        <x:f>IF(Data!$P110="High",IF(Data!I110="","",Data!I110),"")</x:f>
        <x:v>7035.139999999999</x:v>
      </x:c>
      <x:c r="J110" t="str">
        <x:f>IF(Data!$P110="High",IF(Data!J110="","",Data!J110),"")</x:f>
        <x:v>Unpaid</x:v>
      </x:c>
      <x:c r="K110" t="str">
        <x:f>IF(Data!$P110="High",IF(Data!K110="","",Data!K110),"")</x:f>
        <x:v>Pending</x:v>
      </x:c>
      <x:c r="L110" t="str">
        <x:f>IF(Data!$P110="High",IF(Data!L110="","",Data!L110),"")</x:f>
        <x:v>OK</x:v>
      </x:c>
      <x:c r="M110" t="str">
        <x:f>IF(Data!$P110="High",IF(Data!M110="","",Data!M110),"")</x:f>
        <x:v>Missing PO</x:v>
      </x:c>
      <x:c r="N110" t="str">
        <x:f>IF(Data!$P110="High",IF(Data!N110="","",Data!N110),"")</x:f>
        <x:v>Review Tax</x:v>
      </x:c>
      <x:c r="O110" s="100" t="n">
        <x:f>IF(Data!$P110="High",Data!O110,"")</x:f>
        <x:v>41</x:v>
      </x:c>
      <x:c r="P110" t="str">
        <x:f>IF(Data!$P110="High",IF(Data!P110="","",Data!P110),"")</x:f>
        <x:v>High</x:v>
      </x:c>
      <x:c r="Q110" t="str">
        <x:f>IF(Data!$P110="High",IF(Data!Q110="","",Data!Q110),"")</x:f>
        <x:v>Missing PO; Tax variance; Overdue; Approval issue</x:v>
      </x:c>
    </x:row>
    <x:row r="111">
      <x:c r="A111" t="str">
        <x:f>IF(Data!$P111="High",IF(Data!A111="","",Data!A111),"")</x:f>
        <x:v>AP-0110</x:v>
      </x:c>
      <x:c r="B111" t="str">
        <x:f>IF(Data!$P111="High",IF(Data!B111="","",Data!B111),"")</x:f>
        <x:v>Vendor 30</x:v>
      </x:c>
      <x:c r="C111" t="str">
        <x:f>IF(Data!$P111="High",IF(Data!C111="","",Data!C111),"")</x:f>
        <x:v>INV-24561</x:v>
      </x:c>
      <x:c r="D111" t="str">
        <x:f>IF(Data!$P111="High",IF(Data!D111="","",Data!D111),"")</x:f>
      </x:c>
      <x:c r="E111" s="123" t="n">
        <x:f>IF(Data!$P111="High",IF(Data!E111="","",Data!E111),"")</x:f>
        <x:v>46156</x:v>
      </x:c>
      <x:c r="F111" s="123" t="n">
        <x:f>IF(Data!$P111="High",IF(Data!F111="","",Data!F111),"")</x:f>
        <x:v>46186</x:v>
      </x:c>
      <x:c r="G111" s="124" t="n">
        <x:f>IF(Data!$P111="High",IF(Data!G111="","",Data!G111),"")</x:f>
        <x:v>7492.61</x:v>
      </x:c>
      <x:c r="H111" s="124" t="n">
        <x:f>IF(Data!$P111="High",IF(Data!H111="","",Data!H111),"")</x:f>
        <x:v>974.04</x:v>
      </x:c>
      <x:c r="I111" s="124" t="n">
        <x:f>IF(Data!$P111="High",IF(Data!I111="","",Data!I111),"")</x:f>
        <x:v>8466.65</x:v>
      </x:c>
      <x:c r="J111" t="str">
        <x:f>IF(Data!$P111="High",IF(Data!J111="","",Data!J111),"")</x:f>
        <x:v>On Hold</x:v>
      </x:c>
      <x:c r="K111" t="str">
        <x:f>IF(Data!$P111="High",IF(Data!K111="","",Data!K111),"")</x:f>
        <x:v>Approved</x:v>
      </x:c>
      <x:c r="L111" t="str">
        <x:f>IF(Data!$P111="High",IF(Data!L111="","",Data!L111),"")</x:f>
        <x:v>OK</x:v>
      </x:c>
      <x:c r="M111" t="str">
        <x:f>IF(Data!$P111="High",IF(Data!M111="","",Data!M111),"")</x:f>
        <x:v>Missing PO</x:v>
      </x:c>
      <x:c r="N111" t="str">
        <x:f>IF(Data!$P111="High",IF(Data!N111="","",Data!N111),"")</x:f>
        <x:v>OK</x:v>
      </x:c>
      <x:c r="O111" s="100" t="n">
        <x:f>IF(Data!$P111="High",Data!O111,"")</x:f>
        <x:v>46</x:v>
      </x:c>
      <x:c r="P111" t="str">
        <x:f>IF(Data!$P111="High",IF(Data!P111="","",Data!P111),"")</x:f>
        <x:v>High</x:v>
      </x:c>
      <x:c r="Q111" t="str">
        <x:f>IF(Data!$P111="High",IF(Data!Q111="","",Data!Q111),"")</x:f>
        <x:v>Missing PO; Overdue</x:v>
      </x:c>
    </x:row>
    <x:row r="112">
      <x:c r="A112" t="str">
        <x:f>IF(Data!$P112="High",IF(Data!A112="","",Data!A112),"")</x:f>
        <x:v>AP-0111</x:v>
      </x:c>
      <x:c r="B112" t="str">
        <x:f>IF(Data!$P112="High",IF(Data!B112="","",Data!B112),"")</x:f>
        <x:v>Vendor 29</x:v>
      </x:c>
      <x:c r="C112" t="str">
        <x:f>IF(Data!$P112="High",IF(Data!C112="","",Data!C112),"")</x:f>
        <x:v>INV-25667</x:v>
      </x:c>
      <x:c r="D112" t="str">
        <x:f>IF(Data!$P112="High",IF(Data!D112="","",Data!D112),"")</x:f>
        <x:v>PO-1035</x:v>
      </x:c>
      <x:c r="E112" s="123" t="n">
        <x:f>IF(Data!$P112="High",IF(Data!E112="","",Data!E112),"")</x:f>
        <x:v>46164</x:v>
      </x:c>
      <x:c r="F112" s="123" t="n">
        <x:f>IF(Data!$P112="High",IF(Data!F112="","",Data!F112),"")</x:f>
        <x:v>46209</x:v>
      </x:c>
      <x:c r="G112" s="124" t="n">
        <x:f>IF(Data!$P112="High",IF(Data!G112="","",Data!G112),"")</x:f>
        <x:v>7065.18</x:v>
      </x:c>
      <x:c r="H112" s="124" t="n">
        <x:f>IF(Data!$P112="High",IF(Data!H112="","",Data!H112),"")</x:f>
        <x:v>912.25</x:v>
      </x:c>
      <x:c r="I112" s="124" t="n">
        <x:f>IF(Data!$P112="High",IF(Data!I112="","",Data!I112),"")</x:f>
        <x:v>7977.43</x:v>
      </x:c>
      <x:c r="J112" t="str">
        <x:f>IF(Data!$P112="High",IF(Data!J112="","",Data!J112),"")</x:f>
        <x:v>Unpaid</x:v>
      </x:c>
      <x:c r="K112" t="str">
        <x:f>IF(Data!$P112="High",IF(Data!K112="","",Data!K112),"")</x:f>
        <x:v>Rejected</x:v>
      </x:c>
      <x:c r="L112" t="str">
        <x:f>IF(Data!$P112="High",IF(Data!L112="","",Data!L112),"")</x:f>
        <x:v>Duplicate Risk</x:v>
      </x:c>
      <x:c r="M112" t="str">
        <x:f>IF(Data!$P112="High",IF(Data!M112="","",Data!M112),"")</x:f>
        <x:v>Matched</x:v>
      </x:c>
      <x:c r="N112" t="str">
        <x:f>IF(Data!$P112="High",IF(Data!N112="","",Data!N112),"")</x:f>
        <x:v>Review Tax</x:v>
      </x:c>
      <x:c r="O112" s="100" t="n">
        <x:f>IF(Data!$P112="High",Data!O112,"")</x:f>
        <x:v>23</x:v>
      </x:c>
      <x:c r="P112" t="str">
        <x:f>IF(Data!$P112="High",IF(Data!P112="","",Data!P112),"")</x:f>
        <x:v>High</x:v>
      </x:c>
      <x:c r="Q112" t="str">
        <x:f>IF(Data!$P112="High",IF(Data!Q112="","",Data!Q112),"")</x:f>
        <x:v>Duplicate risk; Tax variance; Overdue; Approval issue</x:v>
      </x:c>
    </x:row>
    <x:row r="113">
      <x:c r="A113" t="str">
        <x:f>IF(Data!$P113="High",IF(Data!A113="","",Data!A113),"")</x:f>
        <x:v>AP-0112</x:v>
      </x:c>
      <x:c r="B113" t="str">
        <x:f>IF(Data!$P113="High",IF(Data!B113="","",Data!B113),"")</x:f>
        <x:v>Vendor 6</x:v>
      </x:c>
      <x:c r="C113" t="str">
        <x:f>IF(Data!$P113="High",IF(Data!C113="","",Data!C113),"")</x:f>
        <x:v>INV-36744</x:v>
      </x:c>
      <x:c r="D113" t="str">
        <x:f>IF(Data!$P113="High",IF(Data!D113="","",Data!D113),"")</x:f>
      </x:c>
      <x:c r="E113" s="123" t="n">
        <x:f>IF(Data!$P113="High",IF(Data!E113="","",Data!E113),"")</x:f>
        <x:v>46171</x:v>
      </x:c>
      <x:c r="F113" s="123" t="n">
        <x:f>IF(Data!$P113="High",IF(Data!F113="","",Data!F113),"")</x:f>
        <x:v>46216</x:v>
      </x:c>
      <x:c r="G113" s="124" t="n">
        <x:f>IF(Data!$P113="High",IF(Data!G113="","",Data!G113),"")</x:f>
        <x:v>3439.57</x:v>
      </x:c>
      <x:c r="H113" s="124" t="n">
        <x:f>IF(Data!$P113="High",IF(Data!H113="","",Data!H113),"")</x:f>
        <x:v>450.24</x:v>
      </x:c>
      <x:c r="I113" s="124" t="n">
        <x:f>IF(Data!$P113="High",IF(Data!I113="","",Data!I113),"")</x:f>
        <x:v>3889.8100000000004</x:v>
      </x:c>
      <x:c r="J113" t="str">
        <x:f>IF(Data!$P113="High",IF(Data!J113="","",Data!J113),"")</x:f>
        <x:v>Unpaid</x:v>
      </x:c>
      <x:c r="K113" t="str">
        <x:f>IF(Data!$P113="High",IF(Data!K113="","",Data!K113),"")</x:f>
        <x:v>Rejected</x:v>
      </x:c>
      <x:c r="L113" t="str">
        <x:f>IF(Data!$P113="High",IF(Data!L113="","",Data!L113),"")</x:f>
        <x:v>Duplicate Risk</x:v>
      </x:c>
      <x:c r="M113" t="str">
        <x:f>IF(Data!$P113="High",IF(Data!M113="","",Data!M113),"")</x:f>
        <x:v>Missing PO</x:v>
      </x:c>
      <x:c r="N113" t="str">
        <x:f>IF(Data!$P113="High",IF(Data!N113="","",Data!N113),"")</x:f>
        <x:v>Review Tax</x:v>
      </x:c>
      <x:c r="O113" s="100" t="n">
        <x:f>IF(Data!$P113="High",Data!O113,"")</x:f>
        <x:v>16</x:v>
      </x:c>
      <x:c r="P113" t="str">
        <x:f>IF(Data!$P113="High",IF(Data!P113="","",Data!P113),"")</x:f>
        <x:v>High</x:v>
      </x:c>
      <x:c r="Q113" t="str">
        <x:f>IF(Data!$P113="High",IF(Data!Q113="","",Data!Q113),"")</x:f>
        <x:v>Duplicate risk; Missing PO; Tax variance; Overdue; Approval issue</x:v>
      </x:c>
    </x:row>
    <x:row r="114">
      <x:c r="A114" t="str">
        <x:f>IF(Data!$P114="High",IF(Data!A114="","",Data!A114),"")</x:f>
        <x:v>AP-0113</x:v>
      </x:c>
      <x:c r="B114" t="str">
        <x:f>IF(Data!$P114="High",IF(Data!B114="","",Data!B114),"")</x:f>
        <x:v>Vendor 15</x:v>
      </x:c>
      <x:c r="C114" t="str">
        <x:f>IF(Data!$P114="High",IF(Data!C114="","",Data!C114),"")</x:f>
        <x:v>INV-44053</x:v>
      </x:c>
      <x:c r="D114" t="str">
        <x:f>IF(Data!$P114="High",IF(Data!D114="","",Data!D114),"")</x:f>
        <x:v>PO-1057</x:v>
      </x:c>
      <x:c r="E114" s="123" t="n">
        <x:f>IF(Data!$P114="High",IF(Data!E114="","",Data!E114),"")</x:f>
        <x:v>46155</x:v>
      </x:c>
      <x:c r="F114" s="123" t="n">
        <x:f>IF(Data!$P114="High",IF(Data!F114="","",Data!F114),"")</x:f>
        <x:v>46200</x:v>
      </x:c>
      <x:c r="G114" s="124" t="n">
        <x:f>IF(Data!$P114="High",IF(Data!G114="","",Data!G114),"")</x:f>
        <x:v>6895.28</x:v>
      </x:c>
      <x:c r="H114" s="124" t="n">
        <x:f>IF(Data!$P114="High",IF(Data!H114="","",Data!H114),"")</x:f>
        <x:v>893.3</x:v>
      </x:c>
      <x:c r="I114" s="124" t="n">
        <x:f>IF(Data!$P114="High",IF(Data!I114="","",Data!I114),"")</x:f>
        <x:v>7788.58</x:v>
      </x:c>
      <x:c r="J114" t="str">
        <x:f>IF(Data!$P114="High",IF(Data!J114="","",Data!J114),"")</x:f>
        <x:v>On Hold</x:v>
      </x:c>
      <x:c r="K114" t="str">
        <x:f>IF(Data!$P114="High",IF(Data!K114="","",Data!K114),"")</x:f>
        <x:v>Pending</x:v>
      </x:c>
      <x:c r="L114" t="str">
        <x:f>IF(Data!$P114="High",IF(Data!L114="","",Data!L114),"")</x:f>
        <x:v>Duplicate Risk</x:v>
      </x:c>
      <x:c r="M114" t="str">
        <x:f>IF(Data!$P114="High",IF(Data!M114="","",Data!M114),"")</x:f>
        <x:v>Matched</x:v>
      </x:c>
      <x:c r="N114" t="str">
        <x:f>IF(Data!$P114="High",IF(Data!N114="","",Data!N114),"")</x:f>
        <x:v>Review Tax</x:v>
      </x:c>
      <x:c r="O114" s="100" t="n">
        <x:f>IF(Data!$P114="High",Data!O114,"")</x:f>
        <x:v>32</x:v>
      </x:c>
      <x:c r="P114" t="str">
        <x:f>IF(Data!$P114="High",IF(Data!P114="","",Data!P114),"")</x:f>
        <x:v>High</x:v>
      </x:c>
      <x:c r="Q114" t="str">
        <x:f>IF(Data!$P114="High",IF(Data!Q114="","",Data!Q114),"")</x:f>
        <x:v>Duplicate risk; Tax variance; Overdue; Approval issue</x:v>
      </x:c>
    </x:row>
    <x:row r="115">
      <x:c r="A115" t="str">
        <x:f>IF(Data!$P115="High",IF(Data!A115="","",Data!A115),"")</x:f>
        <x:v>AP-0114</x:v>
      </x:c>
      <x:c r="B115" t="str">
        <x:f>IF(Data!$P115="High",IF(Data!B115="","",Data!B115),"")</x:f>
        <x:v>Vendor 13</x:v>
      </x:c>
      <x:c r="C115" t="str">
        <x:f>IF(Data!$P115="High",IF(Data!C115="","",Data!C115),"")</x:f>
        <x:v>INV-21910</x:v>
      </x:c>
      <x:c r="D115" t="str">
        <x:f>IF(Data!$P115="High",IF(Data!D115="","",Data!D115),"")</x:f>
        <x:v>PO-1045</x:v>
      </x:c>
      <x:c r="E115" s="123" t="n">
        <x:f>IF(Data!$P115="High",IF(Data!E115="","",Data!E115),"")</x:f>
        <x:v>46160</x:v>
      </x:c>
      <x:c r="F115" s="123" t="n">
        <x:f>IF(Data!$P115="High",IF(Data!F115="","",Data!F115),"")</x:f>
        <x:v>46190</x:v>
      </x:c>
      <x:c r="G115" s="124" t="n">
        <x:f>IF(Data!$P115="High",IF(Data!G115="","",Data!G115),"")</x:f>
        <x:v>3263.99</x:v>
      </x:c>
      <x:c r="H115" s="124" t="n">
        <x:f>IF(Data!$P115="High",IF(Data!H115="","",Data!H115),"")</x:f>
        <x:v>424.32</x:v>
      </x:c>
      <x:c r="I115" s="124" t="n">
        <x:f>IF(Data!$P115="High",IF(Data!I115="","",Data!I115),"")</x:f>
        <x:v>3688.31</x:v>
      </x:c>
      <x:c r="J115" t="str">
        <x:f>IF(Data!$P115="High",IF(Data!J115="","",Data!J115),"")</x:f>
        <x:v>Unpaid</x:v>
      </x:c>
      <x:c r="K115" t="str">
        <x:f>IF(Data!$P115="High",IF(Data!K115="","",Data!K115),"")</x:f>
        <x:v>Rejected</x:v>
      </x:c>
      <x:c r="L115" t="str">
        <x:f>IF(Data!$P115="High",IF(Data!L115="","",Data!L115),"")</x:f>
        <x:v>OK</x:v>
      </x:c>
      <x:c r="M115" t="str">
        <x:f>IF(Data!$P115="High",IF(Data!M115="","",Data!M115),"")</x:f>
        <x:v>Matched</x:v>
      </x:c>
      <x:c r="N115" t="str">
        <x:f>IF(Data!$P115="High",IF(Data!N115="","",Data!N115),"")</x:f>
        <x:v>OK</x:v>
      </x:c>
      <x:c r="O115" s="100" t="n">
        <x:f>IF(Data!$P115="High",Data!O115,"")</x:f>
        <x:v>42</x:v>
      </x:c>
      <x:c r="P115" t="str">
        <x:f>IF(Data!$P115="High",IF(Data!P115="","",Data!P115),"")</x:f>
        <x:v>High</x:v>
      </x:c>
      <x:c r="Q115" t="str">
        <x:f>IF(Data!$P115="High",IF(Data!Q115="","",Data!Q115),"")</x:f>
        <x:v>Overdue; Approval issue</x:v>
      </x:c>
    </x:row>
    <x:row r="116">
      <x:c r="A116" t="str">
        <x:f>IF(Data!$P116="High",IF(Data!A116="","",Data!A116),"")</x:f>
        <x:v>AP-0115</x:v>
      </x:c>
      <x:c r="B116" t="str">
        <x:f>IF(Data!$P116="High",IF(Data!B116="","",Data!B116),"")</x:f>
        <x:v>Vendor 4</x:v>
      </x:c>
      <x:c r="C116" t="str">
        <x:f>IF(Data!$P116="High",IF(Data!C116="","",Data!C116),"")</x:f>
        <x:v>INV-21360</x:v>
      </x:c>
      <x:c r="D116" t="str">
        <x:f>IF(Data!$P116="High",IF(Data!D116="","",Data!D116),"")</x:f>
      </x:c>
      <x:c r="E116" s="123" t="n">
        <x:f>IF(Data!$P116="High",IF(Data!E116="","",Data!E116),"")</x:f>
        <x:v>46163</x:v>
      </x:c>
      <x:c r="F116" s="123" t="n">
        <x:f>IF(Data!$P116="High",IF(Data!F116="","",Data!F116),"")</x:f>
        <x:v>46193</x:v>
      </x:c>
      <x:c r="G116" s="124" t="n">
        <x:f>IF(Data!$P116="High",IF(Data!G116="","",Data!G116),"")</x:f>
        <x:v>402.54</x:v>
      </x:c>
      <x:c r="H116" s="124" t="n">
        <x:f>IF(Data!$P116="High",IF(Data!H116="","",Data!H116),"")</x:f>
        <x:v>55.67</x:v>
      </x:c>
      <x:c r="I116" s="124" t="n">
        <x:f>IF(Data!$P116="High",IF(Data!I116="","",Data!I116),"")</x:f>
        <x:v>458.21000000000004</x:v>
      </x:c>
      <x:c r="J116" t="str">
        <x:f>IF(Data!$P116="High",IF(Data!J116="","",Data!J116),"")</x:f>
        <x:v>Unpaid</x:v>
      </x:c>
      <x:c r="K116" t="str">
        <x:f>IF(Data!$P116="High",IF(Data!K116="","",Data!K116),"")</x:f>
        <x:v>Approved</x:v>
      </x:c>
      <x:c r="L116" t="str">
        <x:f>IF(Data!$P116="High",IF(Data!L116="","",Data!L116),"")</x:f>
        <x:v>OK</x:v>
      </x:c>
      <x:c r="M116" t="str">
        <x:f>IF(Data!$P116="High",IF(Data!M116="","",Data!M116),"")</x:f>
        <x:v>Missing PO</x:v>
      </x:c>
      <x:c r="N116" t="str">
        <x:f>IF(Data!$P116="High",IF(Data!N116="","",Data!N116),"")</x:f>
        <x:v>Review Tax</x:v>
      </x:c>
      <x:c r="O116" s="100" t="n">
        <x:f>IF(Data!$P116="High",Data!O116,"")</x:f>
        <x:v>39</x:v>
      </x:c>
      <x:c r="P116" t="str">
        <x:f>IF(Data!$P116="High",IF(Data!P116="","",Data!P116),"")</x:f>
        <x:v>High</x:v>
      </x:c>
      <x:c r="Q116" t="str">
        <x:f>IF(Data!$P116="High",IF(Data!Q116="","",Data!Q116),"")</x:f>
        <x:v>Missing PO; Tax variance; Overdue</x:v>
      </x:c>
    </x:row>
    <x:row r="117">
      <x:c r="A117" t="str">
        <x:f>IF(Data!$P117="High",IF(Data!A117="","",Data!A117),"")</x:f>
      </x:c>
      <x:c r="B117" t="str">
        <x:f>IF(Data!$P117="High",IF(Data!B117="","",Data!B117),"")</x:f>
      </x:c>
      <x:c r="C117" t="str">
        <x:f>IF(Data!$P117="High",IF(Data!C117="","",Data!C117),"")</x:f>
      </x:c>
      <x:c r="D117" t="str">
        <x:f>IF(Data!$P117="High",IF(Data!D117="","",Data!D117),"")</x:f>
      </x:c>
      <x:c r="E117" s="123" t="str">
        <x:f>IF(Data!$P117="High",IF(Data!E117="","",Data!E117),"")</x:f>
      </x:c>
      <x:c r="F117" s="123" t="str">
        <x:f>IF(Data!$P117="High",IF(Data!F117="","",Data!F117),"")</x:f>
      </x:c>
      <x:c r="G117" s="124" t="str">
        <x:f>IF(Data!$P117="High",IF(Data!G117="","",Data!G117),"")</x:f>
      </x:c>
      <x:c r="H117" s="124" t="str">
        <x:f>IF(Data!$P117="High",IF(Data!H117="","",Data!H117),"")</x:f>
      </x:c>
      <x:c r="I117" s="124" t="str">
        <x:f>IF(Data!$P117="High",IF(Data!I117="","",Data!I117),"")</x:f>
      </x:c>
      <x:c r="J117" t="str">
        <x:f>IF(Data!$P117="High",IF(Data!J117="","",Data!J117),"")</x:f>
      </x:c>
      <x:c r="K117" t="str">
        <x:f>IF(Data!$P117="High",IF(Data!K117="","",Data!K117),"")</x:f>
      </x:c>
      <x:c r="L117" t="str">
        <x:f>IF(Data!$P117="High",IF(Data!L117="","",Data!L117),"")</x:f>
      </x:c>
      <x:c r="M117" t="str">
        <x:f>IF(Data!$P117="High",IF(Data!M117="","",Data!M117),"")</x:f>
      </x:c>
      <x:c r="N117" t="str">
        <x:f>IF(Data!$P117="High",IF(Data!N117="","",Data!N117),"")</x:f>
      </x:c>
      <x:c r="O117" s="100" t="str">
        <x:f>IF(Data!$P117="High",Data!O117,"")</x:f>
      </x:c>
      <x:c r="P117" t="str">
        <x:f>IF(Data!$P117="High",IF(Data!P117="","",Data!P117),"")</x:f>
      </x:c>
      <x:c r="Q117" t="str">
        <x:f>IF(Data!$P117="High",IF(Data!Q117="","",Data!Q117),"")</x:f>
      </x:c>
    </x:row>
    <x:row r="118">
      <x:c r="A118" t="str">
        <x:f>IF(Data!$P118="High",IF(Data!A118="","",Data!A118),"")</x:f>
        <x:v>AP-0117</x:v>
      </x:c>
      <x:c r="B118" t="str">
        <x:f>IF(Data!$P118="High",IF(Data!B118="","",Data!B118),"")</x:f>
        <x:v>Vendor 23</x:v>
      </x:c>
      <x:c r="C118" t="str">
        <x:f>IF(Data!$P118="High",IF(Data!C118="","",Data!C118),"")</x:f>
        <x:v>INV-30031</x:v>
      </x:c>
      <x:c r="D118" t="str">
        <x:f>IF(Data!$P118="High",IF(Data!D118="","",Data!D118),"")</x:f>
      </x:c>
      <x:c r="E118" s="123" t="n">
        <x:f>IF(Data!$P118="High",IF(Data!E118="","",Data!E118),"")</x:f>
        <x:v>46169</x:v>
      </x:c>
      <x:c r="F118" s="123" t="n">
        <x:f>IF(Data!$P118="High",IF(Data!F118="","",Data!F118),"")</x:f>
        <x:v>46214</x:v>
      </x:c>
      <x:c r="G118" s="124" t="n">
        <x:f>IF(Data!$P118="High",IF(Data!G118="","",Data!G118),"")</x:f>
        <x:v>3680.13</x:v>
      </x:c>
      <x:c r="H118" s="124" t="n">
        <x:f>IF(Data!$P118="High",IF(Data!H118="","",Data!H118),"")</x:f>
        <x:v>478.42</x:v>
      </x:c>
      <x:c r="I118" s="124" t="n">
        <x:f>IF(Data!$P118="High",IF(Data!I118="","",Data!I118),"")</x:f>
        <x:v>4158.55</x:v>
      </x:c>
      <x:c r="J118" t="str">
        <x:f>IF(Data!$P118="High",IF(Data!J118="","",Data!J118),"")</x:f>
        <x:v>Unpaid</x:v>
      </x:c>
      <x:c r="K118" t="str">
        <x:f>IF(Data!$P118="High",IF(Data!K118="","",Data!K118),"")</x:f>
        <x:v>Approved</x:v>
      </x:c>
      <x:c r="L118" t="str">
        <x:f>IF(Data!$P118="High",IF(Data!L118="","",Data!L118),"")</x:f>
        <x:v>OK</x:v>
      </x:c>
      <x:c r="M118" t="str">
        <x:f>IF(Data!$P118="High",IF(Data!M118="","",Data!M118),"")</x:f>
        <x:v>Missing PO</x:v>
      </x:c>
      <x:c r="N118" t="str">
        <x:f>IF(Data!$P118="High",IF(Data!N118="","",Data!N118),"")</x:f>
        <x:v>OK</x:v>
      </x:c>
      <x:c r="O118" s="100" t="n">
        <x:f>IF(Data!$P118="High",Data!O118,"")</x:f>
        <x:v>18</x:v>
      </x:c>
      <x:c r="P118" t="str">
        <x:f>IF(Data!$P118="High",IF(Data!P118="","",Data!P118),"")</x:f>
        <x:v>High</x:v>
      </x:c>
      <x:c r="Q118" t="str">
        <x:f>IF(Data!$P118="High",IF(Data!Q118="","",Data!Q118),"")</x:f>
        <x:v>Missing PO; Overdue</x:v>
      </x:c>
    </x:row>
    <x:row r="119">
      <x:c r="A119" t="str">
        <x:f>IF(Data!$P119="High",IF(Data!A119="","",Data!A119),"")</x:f>
        <x:v>AP-0118</x:v>
      </x:c>
      <x:c r="B119" t="str">
        <x:f>IF(Data!$P119="High",IF(Data!B119="","",Data!B119),"")</x:f>
        <x:v>Vendor 19</x:v>
      </x:c>
      <x:c r="C119" t="str">
        <x:f>IF(Data!$P119="High",IF(Data!C119="","",Data!C119),"")</x:f>
        <x:v>INV-47813</x:v>
      </x:c>
      <x:c r="D119" t="str">
        <x:f>IF(Data!$P119="High",IF(Data!D119="","",Data!D119),"")</x:f>
        <x:v>PO-1021</x:v>
      </x:c>
      <x:c r="E119" s="123" t="n">
        <x:f>IF(Data!$P119="High",IF(Data!E119="","",Data!E119),"")</x:f>
        <x:v>46172</x:v>
      </x:c>
      <x:c r="F119" s="123" t="n">
        <x:f>IF(Data!$P119="High",IF(Data!F119="","",Data!F119),"")</x:f>
        <x:v>46187</x:v>
      </x:c>
      <x:c r="G119" s="124" t="n">
        <x:f>IF(Data!$P119="High",IF(Data!G119="","",Data!G119),"")</x:f>
        <x:v>10897.67</x:v>
      </x:c>
      <x:c r="H119" s="124" t="n">
        <x:f>IF(Data!$P119="High",IF(Data!H119="","",Data!H119),"")</x:f>
        <x:v>1417.47</x:v>
      </x:c>
      <x:c r="I119" s="124" t="n">
        <x:f>IF(Data!$P119="High",IF(Data!I119="","",Data!I119),"")</x:f>
        <x:v>12315.14</x:v>
      </x:c>
      <x:c r="J119" t="str">
        <x:f>IF(Data!$P119="High",IF(Data!J119="","",Data!J119),"")</x:f>
        <x:v>Paid</x:v>
      </x:c>
      <x:c r="K119" t="str">
        <x:f>IF(Data!$P119="High",IF(Data!K119="","",Data!K119),"")</x:f>
        <x:v>Pending</x:v>
      </x:c>
      <x:c r="L119" t="str">
        <x:f>IF(Data!$P119="High",IF(Data!L119="","",Data!L119),"")</x:f>
        <x:v>OK</x:v>
      </x:c>
      <x:c r="M119" t="str">
        <x:f>IF(Data!$P119="High",IF(Data!M119="","",Data!M119),"")</x:f>
        <x:v>Matched</x:v>
      </x:c>
      <x:c r="N119" t="str">
        <x:f>IF(Data!$P119="High",IF(Data!N119="","",Data!N119),"")</x:f>
        <x:v>OK</x:v>
      </x:c>
      <x:c r="O119" s="100" t="n">
        <x:f>IF(Data!$P119="High",Data!O119,"")</x:f>
        <x:v>0</x:v>
      </x:c>
      <x:c r="P119" t="str">
        <x:f>IF(Data!$P119="High",IF(Data!P119="","",Data!P119),"")</x:f>
        <x:v>High</x:v>
      </x:c>
      <x:c r="Q119" t="str">
        <x:f>IF(Data!$P119="High",IF(Data!Q119="","",Data!Q119),"")</x:f>
        <x:v>Approval issue</x:v>
      </x:c>
    </x:row>
    <x:row r="120">
      <x:c r="A120" t="str">
        <x:f>IF(Data!$P120="High",IF(Data!A120="","",Data!A120),"")</x:f>
        <x:v>AP-0119</x:v>
      </x:c>
      <x:c r="B120" t="str">
        <x:f>IF(Data!$P120="High",IF(Data!B120="","",Data!B120),"")</x:f>
        <x:v>Vendor 26</x:v>
      </x:c>
      <x:c r="C120" t="str">
        <x:f>IF(Data!$P120="High",IF(Data!C120="","",Data!C120),"")</x:f>
        <x:v>INV-41935</x:v>
      </x:c>
      <x:c r="D120" t="str">
        <x:f>IF(Data!$P120="High",IF(Data!D120="","",Data!D120),"")</x:f>
        <x:v>PO-1071</x:v>
      </x:c>
      <x:c r="E120" s="123" t="n">
        <x:f>IF(Data!$P120="High",IF(Data!E120="","",Data!E120),"")</x:f>
        <x:v>46151</x:v>
      </x:c>
      <x:c r="F120" s="123" t="n">
        <x:f>IF(Data!$P120="High",IF(Data!F120="","",Data!F120),"")</x:f>
        <x:v>46181</x:v>
      </x:c>
      <x:c r="G120" s="124" t="n">
        <x:f>IF(Data!$P120="High",IF(Data!G120="","",Data!G120),"")</x:f>
        <x:v>4919.37</x:v>
      </x:c>
      <x:c r="H120" s="124" t="n">
        <x:f>IF(Data!$P120="High",IF(Data!H120="","",Data!H120),"")</x:f>
        <x:v>639.52</x:v>
      </x:c>
      <x:c r="I120" s="124" t="n">
        <x:f>IF(Data!$P120="High",IF(Data!I120="","",Data!I120),"")</x:f>
        <x:v>5558.889999999999</x:v>
      </x:c>
      <x:c r="J120" t="str">
        <x:f>IF(Data!$P120="High",IF(Data!J120="","",Data!J120),"")</x:f>
        <x:v>On Hold</x:v>
      </x:c>
      <x:c r="K120" t="str">
        <x:f>IF(Data!$P120="High",IF(Data!K120="","",Data!K120),"")</x:f>
        <x:v>Approved</x:v>
      </x:c>
      <x:c r="L120" t="str">
        <x:f>IF(Data!$P120="High",IF(Data!L120="","",Data!L120),"")</x:f>
        <x:v>OK</x:v>
      </x:c>
      <x:c r="M120" t="str">
        <x:f>IF(Data!$P120="High",IF(Data!M120="","",Data!M120),"")</x:f>
        <x:v>Matched</x:v>
      </x:c>
      <x:c r="N120" t="str">
        <x:f>IF(Data!$P120="High",IF(Data!N120="","",Data!N120),"")</x:f>
        <x:v>OK</x:v>
      </x:c>
      <x:c r="O120" s="100" t="n">
        <x:f>IF(Data!$P120="High",Data!O120,"")</x:f>
        <x:v>51</x:v>
      </x:c>
      <x:c r="P120" t="str">
        <x:f>IF(Data!$P120="High",IF(Data!P120="","",Data!P120),"")</x:f>
        <x:v>High</x:v>
      </x:c>
      <x:c r="Q120" t="str">
        <x:f>IF(Data!$P120="High",IF(Data!Q120="","",Data!Q120),"")</x:f>
        <x:v>Overdue</x:v>
      </x:c>
    </x:row>
    <x:row r="121">
      <x:c r="A121" t="str">
        <x:f>IF(Data!$P121="High",IF(Data!A121="","",Data!A121),"")</x:f>
        <x:v>AP-0120</x:v>
      </x:c>
      <x:c r="B121" t="str">
        <x:f>IF(Data!$P121="High",IF(Data!B121="","",Data!B121),"")</x:f>
        <x:v>Vendor 15</x:v>
      </x:c>
      <x:c r="C121" t="str">
        <x:f>IF(Data!$P121="High",IF(Data!C121="","",Data!C121),"")</x:f>
        <x:v>INV-31116</x:v>
      </x:c>
      <x:c r="D121" t="str">
        <x:f>IF(Data!$P121="High",IF(Data!D121="","",Data!D121),"")</x:f>
        <x:v>PO-1010</x:v>
      </x:c>
      <x:c r="E121" s="123" t="n">
        <x:f>IF(Data!$P121="High",IF(Data!E121="","",Data!E121),"")</x:f>
        <x:v>46190</x:v>
      </x:c>
      <x:c r="F121" s="123" t="n">
        <x:f>IF(Data!$P121="High",IF(Data!F121="","",Data!F121),"")</x:f>
        <x:v>46220</x:v>
      </x:c>
      <x:c r="G121" s="124" t="n">
        <x:f>IF(Data!$P121="High",IF(Data!G121="","",Data!G121),"")</x:f>
        <x:v>4111.14</x:v>
      </x:c>
      <x:c r="H121" s="124" t="n">
        <x:f>IF(Data!$P121="High",IF(Data!H121="","",Data!H121),"")</x:f>
        <x:v>537.02</x:v>
      </x:c>
      <x:c r="I121" s="124" t="n">
        <x:f>IF(Data!$P121="High",IF(Data!I121="","",Data!I121),"")</x:f>
        <x:v>4648.16</x:v>
      </x:c>
      <x:c r="J121" t="str">
        <x:f>IF(Data!$P121="High",IF(Data!J121="","",Data!J121),"")</x:f>
        <x:v>Unpaid</x:v>
      </x:c>
      <x:c r="K121" t="str">
        <x:f>IF(Data!$P121="High",IF(Data!K121="","",Data!K121),"")</x:f>
        <x:v>Rejected</x:v>
      </x:c>
      <x:c r="L121" t="str">
        <x:f>IF(Data!$P121="High",IF(Data!L121="","",Data!L121),"")</x:f>
        <x:v>OK</x:v>
      </x:c>
      <x:c r="M121" t="str">
        <x:f>IF(Data!$P121="High",IF(Data!M121="","",Data!M121),"")</x:f>
        <x:v>Matched</x:v>
      </x:c>
      <x:c r="N121" t="str">
        <x:f>IF(Data!$P121="High",IF(Data!N121="","",Data!N121),"")</x:f>
        <x:v>Review Tax</x:v>
      </x:c>
      <x:c r="O121" s="100" t="n">
        <x:f>IF(Data!$P121="High",Data!O121,"")</x:f>
        <x:v>12</x:v>
      </x:c>
      <x:c r="P121" t="str">
        <x:f>IF(Data!$P121="High",IF(Data!P121="","",Data!P121),"")</x:f>
        <x:v>High</x:v>
      </x:c>
      <x:c r="Q121" t="str">
        <x:f>IF(Data!$P121="High",IF(Data!Q121="","",Data!Q121),"")</x:f>
        <x:v>Tax variance; Overdue; Approval issue</x:v>
      </x:c>
    </x:row>
    <x:row r="122">
      <x:c r="A122" t="str">
        <x:f>IF(Data!$P122="High",IF(Data!A122="","",Data!A122),"")</x:f>
        <x:v>AP-0121</x:v>
      </x:c>
      <x:c r="B122" t="str">
        <x:f>IF(Data!$P122="High",IF(Data!B122="","",Data!B122),"")</x:f>
        <x:v>Vendor 24</x:v>
      </x:c>
      <x:c r="C122" t="str">
        <x:f>IF(Data!$P122="High",IF(Data!C122="","",Data!C122),"")</x:f>
        <x:v>INV-29277</x:v>
      </x:c>
      <x:c r="D122" t="str">
        <x:f>IF(Data!$P122="High",IF(Data!D122="","",Data!D122),"")</x:f>
      </x:c>
      <x:c r="E122" s="123" t="n">
        <x:f>IF(Data!$P122="High",IF(Data!E122="","",Data!E122),"")</x:f>
        <x:v>46178</x:v>
      </x:c>
      <x:c r="F122" s="123" t="n">
        <x:f>IF(Data!$P122="High",IF(Data!F122="","",Data!F122),"")</x:f>
        <x:v>46223</x:v>
      </x:c>
      <x:c r="G122" s="124" t="n">
        <x:f>IF(Data!$P122="High",IF(Data!G122="","",Data!G122),"")</x:f>
        <x:v>420.81</x:v>
      </x:c>
      <x:c r="H122" s="124" t="n">
        <x:f>IF(Data!$P122="High",IF(Data!H122="","",Data!H122),"")</x:f>
        <x:v>54.71</x:v>
      </x:c>
      <x:c r="I122" s="124" t="n">
        <x:f>IF(Data!$P122="High",IF(Data!I122="","",Data!I122),"")</x:f>
        <x:v>475.52</x:v>
      </x:c>
      <x:c r="J122" t="str">
        <x:f>IF(Data!$P122="High",IF(Data!J122="","",Data!J122),"")</x:f>
        <x:v>Unpaid</x:v>
      </x:c>
      <x:c r="K122" t="str">
        <x:f>IF(Data!$P122="High",IF(Data!K122="","",Data!K122),"")</x:f>
        <x:v>Pending</x:v>
      </x:c>
      <x:c r="L122" t="str">
        <x:f>IF(Data!$P122="High",IF(Data!L122="","",Data!L122),"")</x:f>
        <x:v>OK</x:v>
      </x:c>
      <x:c r="M122" t="str">
        <x:f>IF(Data!$P122="High",IF(Data!M122="","",Data!M122),"")</x:f>
        <x:v>Missing PO</x:v>
      </x:c>
      <x:c r="N122" t="str">
        <x:f>IF(Data!$P122="High",IF(Data!N122="","",Data!N122),"")</x:f>
        <x:v>OK</x:v>
      </x:c>
      <x:c r="O122" s="100" t="n">
        <x:f>IF(Data!$P122="High",Data!O122,"")</x:f>
        <x:v>9</x:v>
      </x:c>
      <x:c r="P122" t="str">
        <x:f>IF(Data!$P122="High",IF(Data!P122="","",Data!P122),"")</x:f>
        <x:v>High</x:v>
      </x:c>
      <x:c r="Q122" t="str">
        <x:f>IF(Data!$P122="High",IF(Data!Q122="","",Data!Q122),"")</x:f>
        <x:v>Missing PO; Overdue; Approval issue</x:v>
      </x:c>
    </x:row>
    <x:row r="123">
      <x:c r="A123" t="str">
        <x:f>IF(Data!$P123="High",IF(Data!A123="","",Data!A123),"")</x:f>
      </x:c>
      <x:c r="B123" t="str">
        <x:f>IF(Data!$P123="High",IF(Data!B123="","",Data!B123),"")</x:f>
      </x:c>
      <x:c r="C123" t="str">
        <x:f>IF(Data!$P123="High",IF(Data!C123="","",Data!C123),"")</x:f>
      </x:c>
      <x:c r="D123" t="str">
        <x:f>IF(Data!$P123="High",IF(Data!D123="","",Data!D123),"")</x:f>
      </x:c>
      <x:c r="E123" s="123" t="str">
        <x:f>IF(Data!$P123="High",IF(Data!E123="","",Data!E123),"")</x:f>
      </x:c>
      <x:c r="F123" s="123" t="str">
        <x:f>IF(Data!$P123="High",IF(Data!F123="","",Data!F123),"")</x:f>
      </x:c>
      <x:c r="G123" s="124" t="str">
        <x:f>IF(Data!$P123="High",IF(Data!G123="","",Data!G123),"")</x:f>
      </x:c>
      <x:c r="H123" s="124" t="str">
        <x:f>IF(Data!$P123="High",IF(Data!H123="","",Data!H123),"")</x:f>
      </x:c>
      <x:c r="I123" s="124" t="str">
        <x:f>IF(Data!$P123="High",IF(Data!I123="","",Data!I123),"")</x:f>
      </x:c>
      <x:c r="J123" t="str">
        <x:f>IF(Data!$P123="High",IF(Data!J123="","",Data!J123),"")</x:f>
      </x:c>
      <x:c r="K123" t="str">
        <x:f>IF(Data!$P123="High",IF(Data!K123="","",Data!K123),"")</x:f>
      </x:c>
      <x:c r="L123" t="str">
        <x:f>IF(Data!$P123="High",IF(Data!L123="","",Data!L123),"")</x:f>
      </x:c>
      <x:c r="M123" t="str">
        <x:f>IF(Data!$P123="High",IF(Data!M123="","",Data!M123),"")</x:f>
      </x:c>
      <x:c r="N123" t="str">
        <x:f>IF(Data!$P123="High",IF(Data!N123="","",Data!N123),"")</x:f>
      </x:c>
      <x:c r="O123" s="100" t="str">
        <x:f>IF(Data!$P123="High",Data!O123,"")</x:f>
      </x:c>
      <x:c r="P123" t="str">
        <x:f>IF(Data!$P123="High",IF(Data!P123="","",Data!P123),"")</x:f>
      </x:c>
      <x:c r="Q123" t="str">
        <x:f>IF(Data!$P123="High",IF(Data!Q123="","",Data!Q123),"")</x:f>
      </x:c>
    </x:row>
    <x:row r="124">
      <x:c r="A124" t="str">
        <x:f>IF(Data!$P124="High",IF(Data!A124="","",Data!A124),"")</x:f>
        <x:v>AP-0123</x:v>
      </x:c>
      <x:c r="B124" t="str">
        <x:f>IF(Data!$P124="High",IF(Data!B124="","",Data!B124),"")</x:f>
        <x:v>Vendor 10</x:v>
      </x:c>
      <x:c r="C124" t="str">
        <x:f>IF(Data!$P124="High",IF(Data!C124="","",Data!C124),"")</x:f>
        <x:v>INV-40551</x:v>
      </x:c>
      <x:c r="D124" t="str">
        <x:f>IF(Data!$P124="High",IF(Data!D124="","",Data!D124),"")</x:f>
      </x:c>
      <x:c r="E124" s="123" t="n">
        <x:f>IF(Data!$P124="High",IF(Data!E124="","",Data!E124),"")</x:f>
        <x:v>46152</x:v>
      </x:c>
      <x:c r="F124" s="123" t="n">
        <x:f>IF(Data!$P124="High",IF(Data!F124="","",Data!F124),"")</x:f>
        <x:v>46167</x:v>
      </x:c>
      <x:c r="G124" s="124" t="n">
        <x:f>IF(Data!$P124="High",IF(Data!G124="","",Data!G124),"")</x:f>
        <x:v>10315.57</x:v>
      </x:c>
      <x:c r="H124" s="124" t="n">
        <x:f>IF(Data!$P124="High",IF(Data!H124="","",Data!H124),"")</x:f>
        <x:v>1341.02</x:v>
      </x:c>
      <x:c r="I124" s="124" t="n">
        <x:f>IF(Data!$P124="High",IF(Data!I124="","",Data!I124),"")</x:f>
        <x:v>11656.59</x:v>
      </x:c>
      <x:c r="J124" t="str">
        <x:f>IF(Data!$P124="High",IF(Data!J124="","",Data!J124),"")</x:f>
        <x:v>Paid</x:v>
      </x:c>
      <x:c r="K124" t="str">
        <x:f>IF(Data!$P124="High",IF(Data!K124="","",Data!K124),"")</x:f>
        <x:v>Approved</x:v>
      </x:c>
      <x:c r="L124" t="str">
        <x:f>IF(Data!$P124="High",IF(Data!L124="","",Data!L124),"")</x:f>
        <x:v>OK</x:v>
      </x:c>
      <x:c r="M124" t="str">
        <x:f>IF(Data!$P124="High",IF(Data!M124="","",Data!M124),"")</x:f>
        <x:v>Missing PO</x:v>
      </x:c>
      <x:c r="N124" t="str">
        <x:f>IF(Data!$P124="High",IF(Data!N124="","",Data!N124),"")</x:f>
        <x:v>OK</x:v>
      </x:c>
      <x:c r="O124" s="100" t="n">
        <x:f>IF(Data!$P124="High",Data!O124,"")</x:f>
        <x:v>0</x:v>
      </x:c>
      <x:c r="P124" t="str">
        <x:f>IF(Data!$P124="High",IF(Data!P124="","",Data!P124),"")</x:f>
        <x:v>High</x:v>
      </x:c>
      <x:c r="Q124" t="str">
        <x:f>IF(Data!$P124="High",IF(Data!Q124="","",Data!Q124),"")</x:f>
        <x:v>Missing PO</x:v>
      </x:c>
    </x:row>
    <x:row r="125">
      <x:c r="A125" t="str">
        <x:f>IF(Data!$P125="High",IF(Data!A125="","",Data!A125),"")</x:f>
      </x:c>
      <x:c r="B125" t="str">
        <x:f>IF(Data!$P125="High",IF(Data!B125="","",Data!B125),"")</x:f>
      </x:c>
      <x:c r="C125" t="str">
        <x:f>IF(Data!$P125="High",IF(Data!C125="","",Data!C125),"")</x:f>
      </x:c>
      <x:c r="D125" t="str">
        <x:f>IF(Data!$P125="High",IF(Data!D125="","",Data!D125),"")</x:f>
      </x:c>
      <x:c r="E125" s="123" t="str">
        <x:f>IF(Data!$P125="High",IF(Data!E125="","",Data!E125),"")</x:f>
      </x:c>
      <x:c r="F125" s="123" t="str">
        <x:f>IF(Data!$P125="High",IF(Data!F125="","",Data!F125),"")</x:f>
      </x:c>
      <x:c r="G125" s="124" t="str">
        <x:f>IF(Data!$P125="High",IF(Data!G125="","",Data!G125),"")</x:f>
      </x:c>
      <x:c r="H125" s="124" t="str">
        <x:f>IF(Data!$P125="High",IF(Data!H125="","",Data!H125),"")</x:f>
      </x:c>
      <x:c r="I125" s="124" t="str">
        <x:f>IF(Data!$P125="High",IF(Data!I125="","",Data!I125),"")</x:f>
      </x:c>
      <x:c r="J125" t="str">
        <x:f>IF(Data!$P125="High",IF(Data!J125="","",Data!J125),"")</x:f>
      </x:c>
      <x:c r="K125" t="str">
        <x:f>IF(Data!$P125="High",IF(Data!K125="","",Data!K125),"")</x:f>
      </x:c>
      <x:c r="L125" t="str">
        <x:f>IF(Data!$P125="High",IF(Data!L125="","",Data!L125),"")</x:f>
      </x:c>
      <x:c r="M125" t="str">
        <x:f>IF(Data!$P125="High",IF(Data!M125="","",Data!M125),"")</x:f>
      </x:c>
      <x:c r="N125" t="str">
        <x:f>IF(Data!$P125="High",IF(Data!N125="","",Data!N125),"")</x:f>
      </x:c>
      <x:c r="O125" s="100" t="str">
        <x:f>IF(Data!$P125="High",Data!O125,"")</x:f>
      </x:c>
      <x:c r="P125" t="str">
        <x:f>IF(Data!$P125="High",IF(Data!P125="","",Data!P125),"")</x:f>
      </x:c>
      <x:c r="Q125" t="str">
        <x:f>IF(Data!$P125="High",IF(Data!Q125="","",Data!Q125),"")</x:f>
      </x:c>
    </x:row>
    <x:row r="126">
      <x:c r="A126" t="str">
        <x:f>IF(Data!$P126="High",IF(Data!A126="","",Data!A126),"")</x:f>
        <x:v>AP-0125</x:v>
      </x:c>
      <x:c r="B126" t="str">
        <x:f>IF(Data!$P126="High",IF(Data!B126="","",Data!B126),"")</x:f>
        <x:v>Vendor 3</x:v>
      </x:c>
      <x:c r="C126" t="str">
        <x:f>IF(Data!$P126="High",IF(Data!C126="","",Data!C126),"")</x:f>
        <x:v>INV-44109</x:v>
      </x:c>
      <x:c r="D126" t="str">
        <x:f>IF(Data!$P126="High",IF(Data!D126="","",Data!D126),"")</x:f>
        <x:v>PO-1057</x:v>
      </x:c>
      <x:c r="E126" s="123" t="n">
        <x:f>IF(Data!$P126="High",IF(Data!E126="","",Data!E126),"")</x:f>
        <x:v>46184</x:v>
      </x:c>
      <x:c r="F126" s="123" t="n">
        <x:f>IF(Data!$P126="High",IF(Data!F126="","",Data!F126),"")</x:f>
        <x:v>46214</x:v>
      </x:c>
      <x:c r="G126" s="124" t="n">
        <x:f>IF(Data!$P126="High",IF(Data!G126="","",Data!G126),"")</x:f>
        <x:v>10022.73</x:v>
      </x:c>
      <x:c r="H126" s="124" t="n">
        <x:f>IF(Data!$P126="High",IF(Data!H126="","",Data!H126),"")</x:f>
        <x:v>1302.95</x:v>
      </x:c>
      <x:c r="I126" s="124" t="n">
        <x:f>IF(Data!$P126="High",IF(Data!I126="","",Data!I126),"")</x:f>
        <x:v>11325.68</x:v>
      </x:c>
      <x:c r="J126" t="str">
        <x:f>IF(Data!$P126="High",IF(Data!J126="","",Data!J126),"")</x:f>
        <x:v>Unpaid</x:v>
      </x:c>
      <x:c r="K126" t="str">
        <x:f>IF(Data!$P126="High",IF(Data!K126="","",Data!K126),"")</x:f>
        <x:v>Pending</x:v>
      </x:c>
      <x:c r="L126" t="str">
        <x:f>IF(Data!$P126="High",IF(Data!L126="","",Data!L126),"")</x:f>
        <x:v>OK</x:v>
      </x:c>
      <x:c r="M126" t="str">
        <x:f>IF(Data!$P126="High",IF(Data!M126="","",Data!M126),"")</x:f>
        <x:v>Matched</x:v>
      </x:c>
      <x:c r="N126" t="str">
        <x:f>IF(Data!$P126="High",IF(Data!N126="","",Data!N126),"")</x:f>
        <x:v>OK</x:v>
      </x:c>
      <x:c r="O126" s="100" t="n">
        <x:f>IF(Data!$P126="High",Data!O126,"")</x:f>
        <x:v>18</x:v>
      </x:c>
      <x:c r="P126" t="str">
        <x:f>IF(Data!$P126="High",IF(Data!P126="","",Data!P126),"")</x:f>
        <x:v>High</x:v>
      </x:c>
      <x:c r="Q126" t="str">
        <x:f>IF(Data!$P126="High",IF(Data!Q126="","",Data!Q126),"")</x:f>
        <x:v>Overdue; Approval issue</x:v>
      </x:c>
    </x:row>
    <x:row r="127">
      <x:c r="A127" t="str">
        <x:f>IF(Data!$P127="High",IF(Data!A127="","",Data!A127),"")</x:f>
        <x:v>AP-0126</x:v>
      </x:c>
      <x:c r="B127" t="str">
        <x:f>IF(Data!$P127="High",IF(Data!B127="","",Data!B127),"")</x:f>
        <x:v>Vendor 23</x:v>
      </x:c>
      <x:c r="C127" t="str">
        <x:f>IF(Data!$P127="High",IF(Data!C127="","",Data!C127),"")</x:f>
        <x:v>INV-35810</x:v>
      </x:c>
      <x:c r="D127" t="str">
        <x:f>IF(Data!$P127="High",IF(Data!D127="","",Data!D127),"")</x:f>
        <x:v>PO-1032</x:v>
      </x:c>
      <x:c r="E127" s="123" t="n">
        <x:f>IF(Data!$P127="High",IF(Data!E127="","",Data!E127),"")</x:f>
        <x:v>46153</x:v>
      </x:c>
      <x:c r="F127" s="123" t="n">
        <x:f>IF(Data!$P127="High",IF(Data!F127="","",Data!F127),"")</x:f>
        <x:v>46183</x:v>
      </x:c>
      <x:c r="G127" s="124" t="n">
        <x:f>IF(Data!$P127="High",IF(Data!G127="","",Data!G127),"")</x:f>
        <x:v>4773.53</x:v>
      </x:c>
      <x:c r="H127" s="124" t="n">
        <x:f>IF(Data!$P127="High",IF(Data!H127="","",Data!H127),"")</x:f>
        <x:v>620.56</x:v>
      </x:c>
      <x:c r="I127" s="124" t="n">
        <x:f>IF(Data!$P127="High",IF(Data!I127="","",Data!I127),"")</x:f>
        <x:v>5394.09</x:v>
      </x:c>
      <x:c r="J127" t="str">
        <x:f>IF(Data!$P127="High",IF(Data!J127="","",Data!J127),"")</x:f>
        <x:v>Paid</x:v>
      </x:c>
      <x:c r="K127" t="str">
        <x:f>IF(Data!$P127="High",IF(Data!K127="","",Data!K127),"")</x:f>
        <x:v>Rejected</x:v>
      </x:c>
      <x:c r="L127" t="str">
        <x:f>IF(Data!$P127="High",IF(Data!L127="","",Data!L127),"")</x:f>
        <x:v>OK</x:v>
      </x:c>
      <x:c r="M127" t="str">
        <x:f>IF(Data!$P127="High",IF(Data!M127="","",Data!M127),"")</x:f>
        <x:v>Matched</x:v>
      </x:c>
      <x:c r="N127" t="str">
        <x:f>IF(Data!$P127="High",IF(Data!N127="","",Data!N127),"")</x:f>
        <x:v>OK</x:v>
      </x:c>
      <x:c r="O127" s="100" t="n">
        <x:f>IF(Data!$P127="High",Data!O127,"")</x:f>
        <x:v>0</x:v>
      </x:c>
      <x:c r="P127" t="str">
        <x:f>IF(Data!$P127="High",IF(Data!P127="","",Data!P127),"")</x:f>
        <x:v>High</x:v>
      </x:c>
      <x:c r="Q127" t="str">
        <x:f>IF(Data!$P127="High",IF(Data!Q127="","",Data!Q127),"")</x:f>
        <x:v>Approval issue</x:v>
      </x:c>
    </x:row>
    <x:row r="128">
      <x:c r="A128" t="str">
        <x:f>IF(Data!$P128="High",IF(Data!A128="","",Data!A128),"")</x:f>
        <x:v>AP-0127</x:v>
      </x:c>
      <x:c r="B128" t="str">
        <x:f>IF(Data!$P128="High",IF(Data!B128="","",Data!B128),"")</x:f>
        <x:v>Vendor 7</x:v>
      </x:c>
      <x:c r="C128" t="str">
        <x:f>IF(Data!$P128="High",IF(Data!C128="","",Data!C128),"")</x:f>
        <x:v>INV-47325</x:v>
      </x:c>
      <x:c r="D128" t="str">
        <x:f>IF(Data!$P128="High",IF(Data!D128="","",Data!D128),"")</x:f>
      </x:c>
      <x:c r="E128" s="123" t="n">
        <x:f>IF(Data!$P128="High",IF(Data!E128="","",Data!E128),"")</x:f>
        <x:v>46197</x:v>
      </x:c>
      <x:c r="F128" s="123" t="n">
        <x:f>IF(Data!$P128="High",IF(Data!F128="","",Data!F128),"")</x:f>
        <x:v>46242</x:v>
      </x:c>
      <x:c r="G128" s="124" t="n">
        <x:f>IF(Data!$P128="High",IF(Data!G128="","",Data!G128),"")</x:f>
        <x:v>6456.53</x:v>
      </x:c>
      <x:c r="H128" s="124" t="n">
        <x:f>IF(Data!$P128="High",IF(Data!H128="","",Data!H128),"")</x:f>
        <x:v>839.35</x:v>
      </x:c>
      <x:c r="I128" s="124" t="n">
        <x:f>IF(Data!$P128="High",IF(Data!I128="","",Data!I128),"")</x:f>
        <x:v>7295.88</x:v>
      </x:c>
      <x:c r="J128" t="str">
        <x:f>IF(Data!$P128="High",IF(Data!J128="","",Data!J128),"")</x:f>
        <x:v>Unpaid</x:v>
      </x:c>
      <x:c r="K128" t="str">
        <x:f>IF(Data!$P128="High",IF(Data!K128="","",Data!K128),"")</x:f>
        <x:v>Rejected</x:v>
      </x:c>
      <x:c r="L128" t="str">
        <x:f>IF(Data!$P128="High",IF(Data!L128="","",Data!L128),"")</x:f>
        <x:v>OK</x:v>
      </x:c>
      <x:c r="M128" t="str">
        <x:f>IF(Data!$P128="High",IF(Data!M128="","",Data!M128),"")</x:f>
        <x:v>Missing PO</x:v>
      </x:c>
      <x:c r="N128" t="str">
        <x:f>IF(Data!$P128="High",IF(Data!N128="","",Data!N128),"")</x:f>
        <x:v>OK</x:v>
      </x:c>
      <x:c r="O128" s="100" t="n">
        <x:f>IF(Data!$P128="High",Data!O128,"")</x:f>
        <x:v>0</x:v>
      </x:c>
      <x:c r="P128" t="str">
        <x:f>IF(Data!$P128="High",IF(Data!P128="","",Data!P128),"")</x:f>
        <x:v>High</x:v>
      </x:c>
      <x:c r="Q128" t="str">
        <x:f>IF(Data!$P128="High",IF(Data!Q128="","",Data!Q128),"")</x:f>
        <x:v>Missing PO; Approval issue</x:v>
      </x:c>
    </x:row>
    <x:row r="129">
      <x:c r="A129" t="str">
        <x:f>IF(Data!$P129="High",IF(Data!A129="","",Data!A129),"")</x:f>
        <x:v>AP-0128</x:v>
      </x:c>
      <x:c r="B129" t="str">
        <x:f>IF(Data!$P129="High",IF(Data!B129="","",Data!B129),"")</x:f>
        <x:v>Vendor 18</x:v>
      </x:c>
      <x:c r="C129" t="str">
        <x:f>IF(Data!$P129="High",IF(Data!C129="","",Data!C129),"")</x:f>
        <x:v>INV-25285</x:v>
      </x:c>
      <x:c r="D129" t="str">
        <x:f>IF(Data!$P129="High",IF(Data!D129="","",Data!D129),"")</x:f>
      </x:c>
      <x:c r="E129" s="123" t="n">
        <x:f>IF(Data!$P129="High",IF(Data!E129="","",Data!E129),"")</x:f>
        <x:v>46161</x:v>
      </x:c>
      <x:c r="F129" s="123" t="n">
        <x:f>IF(Data!$P129="High",IF(Data!F129="","",Data!F129),"")</x:f>
        <x:v>46191</x:v>
      </x:c>
      <x:c r="G129" s="124" t="n">
        <x:f>IF(Data!$P129="High",IF(Data!G129="","",Data!G129),"")</x:f>
        <x:v>8451.52</x:v>
      </x:c>
      <x:c r="H129" s="124" t="n">
        <x:f>IF(Data!$P129="High",IF(Data!H129="","",Data!H129),"")</x:f>
        <x:v>1098.7</x:v>
      </x:c>
      <x:c r="I129" s="124" t="n">
        <x:f>IF(Data!$P129="High",IF(Data!I129="","",Data!I129),"")</x:f>
        <x:v>9550.220000000001</x:v>
      </x:c>
      <x:c r="J129" t="str">
        <x:f>IF(Data!$P129="High",IF(Data!J129="","",Data!J129),"")</x:f>
        <x:v>Unpaid</x:v>
      </x:c>
      <x:c r="K129" t="str">
        <x:f>IF(Data!$P129="High",IF(Data!K129="","",Data!K129),"")</x:f>
        <x:v>Approved</x:v>
      </x:c>
      <x:c r="L129" t="str">
        <x:f>IF(Data!$P129="High",IF(Data!L129="","",Data!L129),"")</x:f>
        <x:v>OK</x:v>
      </x:c>
      <x:c r="M129" t="str">
        <x:f>IF(Data!$P129="High",IF(Data!M129="","",Data!M129),"")</x:f>
        <x:v>Missing PO</x:v>
      </x:c>
      <x:c r="N129" t="str">
        <x:f>IF(Data!$P129="High",IF(Data!N129="","",Data!N129),"")</x:f>
        <x:v>OK</x:v>
      </x:c>
      <x:c r="O129" s="100" t="n">
        <x:f>IF(Data!$P129="High",Data!O129,"")</x:f>
        <x:v>41</x:v>
      </x:c>
      <x:c r="P129" t="str">
        <x:f>IF(Data!$P129="High",IF(Data!P129="","",Data!P129),"")</x:f>
        <x:v>High</x:v>
      </x:c>
      <x:c r="Q129" t="str">
        <x:f>IF(Data!$P129="High",IF(Data!Q129="","",Data!Q129),"")</x:f>
        <x:v>Missing PO; Overdue</x:v>
      </x:c>
    </x:row>
    <x:row r="130">
      <x:c r="A130" t="str">
        <x:f>IF(Data!$P130="High",IF(Data!A130="","",Data!A130),"")</x:f>
        <x:v>AP-0129</x:v>
      </x:c>
      <x:c r="B130" t="str">
        <x:f>IF(Data!$P130="High",IF(Data!B130="","",Data!B130),"")</x:f>
        <x:v>Vendor 23</x:v>
      </x:c>
      <x:c r="C130" t="str">
        <x:f>IF(Data!$P130="High",IF(Data!C130="","",Data!C130),"")</x:f>
        <x:v>INV-31476</x:v>
      </x:c>
      <x:c r="D130" t="str">
        <x:f>IF(Data!$P130="High",IF(Data!D130="","",Data!D130),"")</x:f>
        <x:v>PO-1007</x:v>
      </x:c>
      <x:c r="E130" s="123" t="n">
        <x:f>IF(Data!$P130="High",IF(Data!E130="","",Data!E130),"")</x:f>
        <x:v>46143</x:v>
      </x:c>
      <x:c r="F130" s="123" t="n">
        <x:f>IF(Data!$P130="High",IF(Data!F130="","",Data!F130),"")</x:f>
        <x:v>46173</x:v>
      </x:c>
      <x:c r="G130" s="124" t="n">
        <x:f>IF(Data!$P130="High",IF(Data!G130="","",Data!G130),"")</x:f>
        <x:v>9696.59</x:v>
      </x:c>
      <x:c r="H130" s="124" t="n">
        <x:f>IF(Data!$P130="High",IF(Data!H130="","",Data!H130),"")</x:f>
        <x:v>1260.56</x:v>
      </x:c>
      <x:c r="I130" s="124" t="n">
        <x:f>IF(Data!$P130="High",IF(Data!I130="","",Data!I130),"")</x:f>
        <x:v>10957.15</x:v>
      </x:c>
      <x:c r="J130" t="str">
        <x:f>IF(Data!$P130="High",IF(Data!J130="","",Data!J130),"")</x:f>
        <x:v>Unpaid</x:v>
      </x:c>
      <x:c r="K130" t="str">
        <x:f>IF(Data!$P130="High",IF(Data!K130="","",Data!K130),"")</x:f>
        <x:v>Rejected</x:v>
      </x:c>
      <x:c r="L130" t="str">
        <x:f>IF(Data!$P130="High",IF(Data!L130="","",Data!L130),"")</x:f>
        <x:v>OK</x:v>
      </x:c>
      <x:c r="M130" t="str">
        <x:f>IF(Data!$P130="High",IF(Data!M130="","",Data!M130),"")</x:f>
        <x:v>Matched</x:v>
      </x:c>
      <x:c r="N130" t="str">
        <x:f>IF(Data!$P130="High",IF(Data!N130="","",Data!N130),"")</x:f>
        <x:v>OK</x:v>
      </x:c>
      <x:c r="O130" s="100" t="n">
        <x:f>IF(Data!$P130="High",Data!O130,"")</x:f>
        <x:v>59</x:v>
      </x:c>
      <x:c r="P130" t="str">
        <x:f>IF(Data!$P130="High",IF(Data!P130="","",Data!P130),"")</x:f>
        <x:v>High</x:v>
      </x:c>
      <x:c r="Q130" t="str">
        <x:f>IF(Data!$P130="High",IF(Data!Q130="","",Data!Q130),"")</x:f>
        <x:v>Overdue; Approval issue</x:v>
      </x:c>
    </x:row>
    <x:row r="131">
      <x:c r="A131" t="str">
        <x:f>IF(Data!$P131="High",IF(Data!A131="","",Data!A131),"")</x:f>
        <x:v>AP-0130</x:v>
      </x:c>
      <x:c r="B131" t="str">
        <x:f>IF(Data!$P131="High",IF(Data!B131="","",Data!B131),"")</x:f>
        <x:v>Vendor 9</x:v>
      </x:c>
      <x:c r="C131" t="str">
        <x:f>IF(Data!$P131="High",IF(Data!C131="","",Data!C131),"")</x:f>
        <x:v>INV-30847</x:v>
      </x:c>
      <x:c r="D131" t="str">
        <x:f>IF(Data!$P131="High",IF(Data!D131="","",Data!D131),"")</x:f>
        <x:v>PO-1050</x:v>
      </x:c>
      <x:c r="E131" s="123" t="n">
        <x:f>IF(Data!$P131="High",IF(Data!E131="","",Data!E131),"")</x:f>
        <x:v>46159</x:v>
      </x:c>
      <x:c r="F131" s="123" t="n">
        <x:f>IF(Data!$P131="High",IF(Data!F131="","",Data!F131),"")</x:f>
        <x:v>46204</x:v>
      </x:c>
      <x:c r="G131" s="124" t="n">
        <x:f>IF(Data!$P131="High",IF(Data!G131="","",Data!G131),"")</x:f>
        <x:v>6673.61</x:v>
      </x:c>
      <x:c r="H131" s="124" t="n">
        <x:f>IF(Data!$P131="High",IF(Data!H131="","",Data!H131),"")</x:f>
        <x:v>867.57</x:v>
      </x:c>
      <x:c r="I131" s="124" t="n">
        <x:f>IF(Data!$P131="High",IF(Data!I131="","",Data!I131),"")</x:f>
        <x:v>7541.179999999999</x:v>
      </x:c>
      <x:c r="J131" t="str">
        <x:f>IF(Data!$P131="High",IF(Data!J131="","",Data!J131),"")</x:f>
        <x:v>On Hold</x:v>
      </x:c>
      <x:c r="K131" t="str">
        <x:f>IF(Data!$P131="High",IF(Data!K131="","",Data!K131),"")</x:f>
        <x:v>Pending</x:v>
      </x:c>
      <x:c r="L131" t="str">
        <x:f>IF(Data!$P131="High",IF(Data!L131="","",Data!L131),"")</x:f>
        <x:v>OK</x:v>
      </x:c>
      <x:c r="M131" t="str">
        <x:f>IF(Data!$P131="High",IF(Data!M131="","",Data!M131),"")</x:f>
        <x:v>Matched</x:v>
      </x:c>
      <x:c r="N131" t="str">
        <x:f>IF(Data!$P131="High",IF(Data!N131="","",Data!N131),"")</x:f>
        <x:v>OK</x:v>
      </x:c>
      <x:c r="O131" s="100" t="n">
        <x:f>IF(Data!$P131="High",Data!O131,"")</x:f>
        <x:v>28</x:v>
      </x:c>
      <x:c r="P131" t="str">
        <x:f>IF(Data!$P131="High",IF(Data!P131="","",Data!P131),"")</x:f>
        <x:v>High</x:v>
      </x:c>
      <x:c r="Q131" t="str">
        <x:f>IF(Data!$P131="High",IF(Data!Q131="","",Data!Q131),"")</x:f>
        <x:v>Overdue; Approval issue</x:v>
      </x:c>
    </x:row>
    <x:row r="132">
      <x:c r="A132" t="str">
        <x:f>IF(Data!$P132="High",IF(Data!A132="","",Data!A132),"")</x:f>
        <x:v>AP-0131</x:v>
      </x:c>
      <x:c r="B132" t="str">
        <x:f>IF(Data!$P132="High",IF(Data!B132="","",Data!B132),"")</x:f>
        <x:v>Vendor 13</x:v>
      </x:c>
      <x:c r="C132" t="str">
        <x:f>IF(Data!$P132="High",IF(Data!C132="","",Data!C132),"")</x:f>
        <x:v>INV-38904</x:v>
      </x:c>
      <x:c r="D132" t="str">
        <x:f>IF(Data!$P132="High",IF(Data!D132="","",Data!D132),"")</x:f>
      </x:c>
      <x:c r="E132" s="123" t="n">
        <x:f>IF(Data!$P132="High",IF(Data!E132="","",Data!E132),"")</x:f>
        <x:v>46198</x:v>
      </x:c>
      <x:c r="F132" s="123" t="n">
        <x:f>IF(Data!$P132="High",IF(Data!F132="","",Data!F132),"")</x:f>
        <x:v>46243</x:v>
      </x:c>
      <x:c r="G132" s="124" t="n">
        <x:f>IF(Data!$P132="High",IF(Data!G132="","",Data!G132),"")</x:f>
        <x:v>4294</x:v>
      </x:c>
      <x:c r="H132" s="124" t="n">
        <x:f>IF(Data!$P132="High",IF(Data!H132="","",Data!H132),"")</x:f>
        <x:v>558.22</x:v>
      </x:c>
      <x:c r="I132" s="124" t="n">
        <x:f>IF(Data!$P132="High",IF(Data!I132="","",Data!I132),"")</x:f>
        <x:v>4852.22</x:v>
      </x:c>
      <x:c r="J132" t="str">
        <x:f>IF(Data!$P132="High",IF(Data!J132="","",Data!J132),"")</x:f>
        <x:v>Paid</x:v>
      </x:c>
      <x:c r="K132" t="str">
        <x:f>IF(Data!$P132="High",IF(Data!K132="","",Data!K132),"")</x:f>
        <x:v>Pending</x:v>
      </x:c>
      <x:c r="L132" t="str">
        <x:f>IF(Data!$P132="High",IF(Data!L132="","",Data!L132),"")</x:f>
        <x:v>OK</x:v>
      </x:c>
      <x:c r="M132" t="str">
        <x:f>IF(Data!$P132="High",IF(Data!M132="","",Data!M132),"")</x:f>
        <x:v>Missing PO</x:v>
      </x:c>
      <x:c r="N132" t="str">
        <x:f>IF(Data!$P132="High",IF(Data!N132="","",Data!N132),"")</x:f>
        <x:v>OK</x:v>
      </x:c>
      <x:c r="O132" s="100" t="n">
        <x:f>IF(Data!$P132="High",Data!O132,"")</x:f>
        <x:v>0</x:v>
      </x:c>
      <x:c r="P132" t="str">
        <x:f>IF(Data!$P132="High",IF(Data!P132="","",Data!P132),"")</x:f>
        <x:v>High</x:v>
      </x:c>
      <x:c r="Q132" t="str">
        <x:f>IF(Data!$P132="High",IF(Data!Q132="","",Data!Q132),"")</x:f>
        <x:v>Missing PO; Approval issue</x:v>
      </x:c>
    </x:row>
    <x:row r="133">
      <x:c r="A133" t="str">
        <x:f>IF(Data!$P133="High",IF(Data!A133="","",Data!A133),"")</x:f>
        <x:v>AP-0132</x:v>
      </x:c>
      <x:c r="B133" t="str">
        <x:f>IF(Data!$P133="High",IF(Data!B133="","",Data!B133),"")</x:f>
        <x:v>Vendor 13</x:v>
      </x:c>
      <x:c r="C133" t="str">
        <x:f>IF(Data!$P133="High",IF(Data!C133="","",Data!C133),"")</x:f>
        <x:v>INV-32391</x:v>
      </x:c>
      <x:c r="D133" t="str">
        <x:f>IF(Data!$P133="High",IF(Data!D133="","",Data!D133),"")</x:f>
      </x:c>
      <x:c r="E133" s="123" t="n">
        <x:f>IF(Data!$P133="High",IF(Data!E133="","",Data!E133),"")</x:f>
        <x:v>46156</x:v>
      </x:c>
      <x:c r="F133" s="123" t="n">
        <x:f>IF(Data!$P133="High",IF(Data!F133="","",Data!F133),"")</x:f>
        <x:v>46201</x:v>
      </x:c>
      <x:c r="G133" s="124" t="n">
        <x:f>IF(Data!$P133="High",IF(Data!G133="","",Data!G133),"")</x:f>
        <x:v>5165.22</x:v>
      </x:c>
      <x:c r="H133" s="124" t="n">
        <x:f>IF(Data!$P133="High",IF(Data!H133="","",Data!H133),"")</x:f>
        <x:v>671.48</x:v>
      </x:c>
      <x:c r="I133" s="124" t="n">
        <x:f>IF(Data!$P133="High",IF(Data!I133="","",Data!I133),"")</x:f>
        <x:v>5836.700000000001</x:v>
      </x:c>
      <x:c r="J133" t="str">
        <x:f>IF(Data!$P133="High",IF(Data!J133="","",Data!J133),"")</x:f>
        <x:v>Unpaid</x:v>
      </x:c>
      <x:c r="K133" t="str">
        <x:f>IF(Data!$P133="High",IF(Data!K133="","",Data!K133),"")</x:f>
        <x:v>Rejected</x:v>
      </x:c>
      <x:c r="L133" t="str">
        <x:f>IF(Data!$P133="High",IF(Data!L133="","",Data!L133),"")</x:f>
        <x:v>OK</x:v>
      </x:c>
      <x:c r="M133" t="str">
        <x:f>IF(Data!$P133="High",IF(Data!M133="","",Data!M133),"")</x:f>
        <x:v>Missing PO</x:v>
      </x:c>
      <x:c r="N133" t="str">
        <x:f>IF(Data!$P133="High",IF(Data!N133="","",Data!N133),"")</x:f>
        <x:v>OK</x:v>
      </x:c>
      <x:c r="O133" s="100" t="n">
        <x:f>IF(Data!$P133="High",Data!O133,"")</x:f>
        <x:v>31</x:v>
      </x:c>
      <x:c r="P133" t="str">
        <x:f>IF(Data!$P133="High",IF(Data!P133="","",Data!P133),"")</x:f>
        <x:v>High</x:v>
      </x:c>
      <x:c r="Q133" t="str">
        <x:f>IF(Data!$P133="High",IF(Data!Q133="","",Data!Q133),"")</x:f>
        <x:v>Missing PO; Overdue; Approval issue</x:v>
      </x:c>
    </x:row>
    <x:row r="134">
      <x:c r="A134" t="str">
        <x:f>IF(Data!$P134="High",IF(Data!A134="","",Data!A134),"")</x:f>
        <x:v>AP-0133</x:v>
      </x:c>
      <x:c r="B134" t="str">
        <x:f>IF(Data!$P134="High",IF(Data!B134="","",Data!B134),"")</x:f>
        <x:v>Vendor 17</x:v>
      </x:c>
      <x:c r="C134" t="str">
        <x:f>IF(Data!$P134="High",IF(Data!C134="","",Data!C134),"")</x:f>
        <x:v>INV-33662</x:v>
      </x:c>
      <x:c r="D134" t="str">
        <x:f>IF(Data!$P134="High",IF(Data!D134="","",Data!D134),"")</x:f>
      </x:c>
      <x:c r="E134" s="123" t="n">
        <x:f>IF(Data!$P134="High",IF(Data!E134="","",Data!E134),"")</x:f>
        <x:v>46162</x:v>
      </x:c>
      <x:c r="F134" s="123" t="n">
        <x:f>IF(Data!$P134="High",IF(Data!F134="","",Data!F134),"")</x:f>
        <x:v>46207</x:v>
      </x:c>
      <x:c r="G134" s="124" t="n">
        <x:f>IF(Data!$P134="High",IF(Data!G134="","",Data!G134),"")</x:f>
        <x:v>4873.37</x:v>
      </x:c>
      <x:c r="H134" s="124" t="n">
        <x:f>IF(Data!$P134="High",IF(Data!H134="","",Data!H134),"")</x:f>
        <x:v>633.54</x:v>
      </x:c>
      <x:c r="I134" s="124" t="n">
        <x:f>IF(Data!$P134="High",IF(Data!I134="","",Data!I134),"")</x:f>
        <x:v>5506.91</x:v>
      </x:c>
      <x:c r="J134" t="str">
        <x:f>IF(Data!$P134="High",IF(Data!J134="","",Data!J134),"")</x:f>
        <x:v>On Hold</x:v>
      </x:c>
      <x:c r="K134" t="str">
        <x:f>IF(Data!$P134="High",IF(Data!K134="","",Data!K134),"")</x:f>
        <x:v>Approved</x:v>
      </x:c>
      <x:c r="L134" t="str">
        <x:f>IF(Data!$P134="High",IF(Data!L134="","",Data!L134),"")</x:f>
        <x:v>OK</x:v>
      </x:c>
      <x:c r="M134" t="str">
        <x:f>IF(Data!$P134="High",IF(Data!M134="","",Data!M134),"")</x:f>
        <x:v>Missing PO</x:v>
      </x:c>
      <x:c r="N134" t="str">
        <x:f>IF(Data!$P134="High",IF(Data!N134="","",Data!N134),"")</x:f>
        <x:v>OK</x:v>
      </x:c>
      <x:c r="O134" s="100" t="n">
        <x:f>IF(Data!$P134="High",Data!O134,"")</x:f>
        <x:v>25</x:v>
      </x:c>
      <x:c r="P134" t="str">
        <x:f>IF(Data!$P134="High",IF(Data!P134="","",Data!P134),"")</x:f>
        <x:v>High</x:v>
      </x:c>
      <x:c r="Q134" t="str">
        <x:f>IF(Data!$P134="High",IF(Data!Q134="","",Data!Q134),"")</x:f>
        <x:v>Missing PO; Overdue</x:v>
      </x:c>
    </x:row>
    <x:row r="135">
      <x:c r="A135" t="str">
        <x:f>IF(Data!$P135="High",IF(Data!A135="","",Data!A135),"")</x:f>
        <x:v>AP-0134</x:v>
      </x:c>
      <x:c r="B135" t="str">
        <x:f>IF(Data!$P135="High",IF(Data!B135="","",Data!B135),"")</x:f>
        <x:v>Vendor 6</x:v>
      </x:c>
      <x:c r="C135" t="str">
        <x:f>IF(Data!$P135="High",IF(Data!C135="","",Data!C135),"")</x:f>
        <x:v>INV-31055</x:v>
      </x:c>
      <x:c r="D135" t="str">
        <x:f>IF(Data!$P135="High",IF(Data!D135="","",Data!D135),"")</x:f>
        <x:v>PO-1089</x:v>
      </x:c>
      <x:c r="E135" s="123" t="n">
        <x:f>IF(Data!$P135="High",IF(Data!E135="","",Data!E135),"")</x:f>
        <x:v>46193</x:v>
      </x:c>
      <x:c r="F135" s="123" t="n">
        <x:f>IF(Data!$P135="High",IF(Data!F135="","",Data!F135),"")</x:f>
        <x:v>46208</x:v>
      </x:c>
      <x:c r="G135" s="124" t="n">
        <x:f>IF(Data!$P135="High",IF(Data!G135="","",Data!G135),"")</x:f>
        <x:v>2113.57</x:v>
      </x:c>
      <x:c r="H135" s="124" t="n">
        <x:f>IF(Data!$P135="High",IF(Data!H135="","",Data!H135),"")</x:f>
        <x:v>274.76</x:v>
      </x:c>
      <x:c r="I135" s="124" t="n">
        <x:f>IF(Data!$P135="High",IF(Data!I135="","",Data!I135),"")</x:f>
        <x:v>2388.33</x:v>
      </x:c>
      <x:c r="J135" t="str">
        <x:f>IF(Data!$P135="High",IF(Data!J135="","",Data!J135),"")</x:f>
        <x:v>Unpaid</x:v>
      </x:c>
      <x:c r="K135" t="str">
        <x:f>IF(Data!$P135="High",IF(Data!K135="","",Data!K135),"")</x:f>
        <x:v>Rejected</x:v>
      </x:c>
      <x:c r="L135" t="str">
        <x:f>IF(Data!$P135="High",IF(Data!L135="","",Data!L135),"")</x:f>
        <x:v>OK</x:v>
      </x:c>
      <x:c r="M135" t="str">
        <x:f>IF(Data!$P135="High",IF(Data!M135="","",Data!M135),"")</x:f>
        <x:v>Matched</x:v>
      </x:c>
      <x:c r="N135" t="str">
        <x:f>IF(Data!$P135="High",IF(Data!N135="","",Data!N135),"")</x:f>
        <x:v>OK</x:v>
      </x:c>
      <x:c r="O135" s="100" t="n">
        <x:f>IF(Data!$P135="High",Data!O135,"")</x:f>
        <x:v>24</x:v>
      </x:c>
      <x:c r="P135" t="str">
        <x:f>IF(Data!$P135="High",IF(Data!P135="","",Data!P135),"")</x:f>
        <x:v>High</x:v>
      </x:c>
      <x:c r="Q135" t="str">
        <x:f>IF(Data!$P135="High",IF(Data!Q135="","",Data!Q135),"")</x:f>
        <x:v>Overdue; Approval issue</x:v>
      </x:c>
    </x:row>
    <x:row r="136">
      <x:c r="A136" t="str">
        <x:f>IF(Data!$P136="High",IF(Data!A136="","",Data!A136),"")</x:f>
        <x:v>AP-0135</x:v>
      </x:c>
      <x:c r="B136" t="str">
        <x:f>IF(Data!$P136="High",IF(Data!B136="","",Data!B136),"")</x:f>
        <x:v>Vendor 28</x:v>
      </x:c>
      <x:c r="C136" t="str">
        <x:f>IF(Data!$P136="High",IF(Data!C136="","",Data!C136),"")</x:f>
        <x:v>INV-24459</x:v>
      </x:c>
      <x:c r="D136" t="str">
        <x:f>IF(Data!$P136="High",IF(Data!D136="","",Data!D136),"")</x:f>
      </x:c>
      <x:c r="E136" s="123" t="n">
        <x:f>IF(Data!$P136="High",IF(Data!E136="","",Data!E136),"")</x:f>
        <x:v>46179</x:v>
      </x:c>
      <x:c r="F136" s="123" t="n">
        <x:f>IF(Data!$P136="High",IF(Data!F136="","",Data!F136),"")</x:f>
        <x:v>46209</x:v>
      </x:c>
      <x:c r="G136" s="124" t="n">
        <x:f>IF(Data!$P136="High",IF(Data!G136="","",Data!G136),"")</x:f>
        <x:v>7431.12</x:v>
      </x:c>
      <x:c r="H136" s="124" t="n">
        <x:f>IF(Data!$P136="High",IF(Data!H136="","",Data!H136),"")</x:f>
        <x:v>966.05</x:v>
      </x:c>
      <x:c r="I136" s="124" t="n">
        <x:f>IF(Data!$P136="High",IF(Data!I136="","",Data!I136),"")</x:f>
        <x:v>8397.17</x:v>
      </x:c>
      <x:c r="J136" t="str">
        <x:f>IF(Data!$P136="High",IF(Data!J136="","",Data!J136),"")</x:f>
        <x:v>Unpaid</x:v>
      </x:c>
      <x:c r="K136" t="str">
        <x:f>IF(Data!$P136="High",IF(Data!K136="","",Data!K136),"")</x:f>
        <x:v>Approved</x:v>
      </x:c>
      <x:c r="L136" t="str">
        <x:f>IF(Data!$P136="High",IF(Data!L136="","",Data!L136),"")</x:f>
        <x:v>OK</x:v>
      </x:c>
      <x:c r="M136" t="str">
        <x:f>IF(Data!$P136="High",IF(Data!M136="","",Data!M136),"")</x:f>
        <x:v>Missing PO</x:v>
      </x:c>
      <x:c r="N136" t="str">
        <x:f>IF(Data!$P136="High",IF(Data!N136="","",Data!N136),"")</x:f>
        <x:v>OK</x:v>
      </x:c>
      <x:c r="O136" s="100" t="n">
        <x:f>IF(Data!$P136="High",Data!O136,"")</x:f>
        <x:v>23</x:v>
      </x:c>
      <x:c r="P136" t="str">
        <x:f>IF(Data!$P136="High",IF(Data!P136="","",Data!P136),"")</x:f>
        <x:v>High</x:v>
      </x:c>
      <x:c r="Q136" t="str">
        <x:f>IF(Data!$P136="High",IF(Data!Q136="","",Data!Q136),"")</x:f>
        <x:v>Missing PO; Overdue</x:v>
      </x:c>
    </x:row>
    <x:row r="137">
      <x:c r="A137" t="str">
        <x:f>IF(Data!$P137="High",IF(Data!A137="","",Data!A137),"")</x:f>
        <x:v>AP-0136</x:v>
      </x:c>
      <x:c r="B137" t="str">
        <x:f>IF(Data!$P137="High",IF(Data!B137="","",Data!B137),"")</x:f>
        <x:v>Vendor 18</x:v>
      </x:c>
      <x:c r="C137" t="str">
        <x:f>IF(Data!$P137="High",IF(Data!C137="","",Data!C137),"")</x:f>
        <x:v>INV-22744</x:v>
      </x:c>
      <x:c r="D137" t="str">
        <x:f>IF(Data!$P137="High",IF(Data!D137="","",Data!D137),"")</x:f>
        <x:v>PO-1066</x:v>
      </x:c>
      <x:c r="E137" s="123" t="n">
        <x:f>IF(Data!$P137="High",IF(Data!E137="","",Data!E137),"")</x:f>
        <x:v>46146</x:v>
      </x:c>
      <x:c r="F137" s="123" t="n">
        <x:f>IF(Data!$P137="High",IF(Data!F137="","",Data!F137),"")</x:f>
        <x:v>46161</x:v>
      </x:c>
      <x:c r="G137" s="124" t="n">
        <x:f>IF(Data!$P137="High",IF(Data!G137="","",Data!G137),"")</x:f>
        <x:v>8732.94</x:v>
      </x:c>
      <x:c r="H137" s="124" t="n">
        <x:f>IF(Data!$P137="High",IF(Data!H137="","",Data!H137),"")</x:f>
        <x:v>1128.77</x:v>
      </x:c>
      <x:c r="I137" s="124" t="n">
        <x:f>IF(Data!$P137="High",IF(Data!I137="","",Data!I137),"")</x:f>
        <x:v>9861.710000000001</x:v>
      </x:c>
      <x:c r="J137" t="str">
        <x:f>IF(Data!$P137="High",IF(Data!J137="","",Data!J137),"")</x:f>
        <x:v>Unpaid</x:v>
      </x:c>
      <x:c r="K137" t="str">
        <x:f>IF(Data!$P137="High",IF(Data!K137="","",Data!K137),"")</x:f>
        <x:v>Approved</x:v>
      </x:c>
      <x:c r="L137" t="str">
        <x:f>IF(Data!$P137="High",IF(Data!L137="","",Data!L137),"")</x:f>
        <x:v>OK</x:v>
      </x:c>
      <x:c r="M137" t="str">
        <x:f>IF(Data!$P137="High",IF(Data!M137="","",Data!M137),"")</x:f>
        <x:v>Matched</x:v>
      </x:c>
      <x:c r="N137" t="str">
        <x:f>IF(Data!$P137="High",IF(Data!N137="","",Data!N137),"")</x:f>
        <x:v>Review Tax</x:v>
      </x:c>
      <x:c r="O137" s="100" t="n">
        <x:f>IF(Data!$P137="High",Data!O137,"")</x:f>
        <x:v>71</x:v>
      </x:c>
      <x:c r="P137" t="str">
        <x:f>IF(Data!$P137="High",IF(Data!P137="","",Data!P137),"")</x:f>
        <x:v>High</x:v>
      </x:c>
      <x:c r="Q137" t="str">
        <x:f>IF(Data!$P137="High",IF(Data!Q137="","",Data!Q137),"")</x:f>
        <x:v>Tax variance; Overdue</x:v>
      </x:c>
    </x:row>
    <x:row r="138">
      <x:c r="A138" t="str">
        <x:f>IF(Data!$P138="High",IF(Data!A138="","",Data!A138),"")</x:f>
        <x:v>AP-0137</x:v>
      </x:c>
      <x:c r="B138" t="str">
        <x:f>IF(Data!$P138="High",IF(Data!B138="","",Data!B138),"")</x:f>
        <x:v>Vendor 7</x:v>
      </x:c>
      <x:c r="C138" t="str">
        <x:f>IF(Data!$P138="High",IF(Data!C138="","",Data!C138),"")</x:f>
        <x:v>INV-22348</x:v>
      </x:c>
      <x:c r="D138" t="str">
        <x:f>IF(Data!$P138="High",IF(Data!D138="","",Data!D138),"")</x:f>
        <x:v>PO-1081</x:v>
      </x:c>
      <x:c r="E138" s="123" t="n">
        <x:f>IF(Data!$P138="High",IF(Data!E138="","",Data!E138),"")</x:f>
        <x:v>46155</x:v>
      </x:c>
      <x:c r="F138" s="123" t="n">
        <x:f>IF(Data!$P138="High",IF(Data!F138="","",Data!F138),"")</x:f>
        <x:v>46185</x:v>
      </x:c>
      <x:c r="G138" s="124" t="n">
        <x:f>IF(Data!$P138="High",IF(Data!G138="","",Data!G138),"")</x:f>
        <x:v>10710.57</x:v>
      </x:c>
      <x:c r="H138" s="124" t="n">
        <x:f>IF(Data!$P138="High",IF(Data!H138="","",Data!H138),"")</x:f>
        <x:v>1390.5</x:v>
      </x:c>
      <x:c r="I138" s="124" t="n">
        <x:f>IF(Data!$P138="High",IF(Data!I138="","",Data!I138),"")</x:f>
        <x:v>12101.07</x:v>
      </x:c>
      <x:c r="J138" t="str">
        <x:f>IF(Data!$P138="High",IF(Data!J138="","",Data!J138),"")</x:f>
        <x:v>Unpaid</x:v>
      </x:c>
      <x:c r="K138" t="str">
        <x:f>IF(Data!$P138="High",IF(Data!K138="","",Data!K138),"")</x:f>
        <x:v>Rejected</x:v>
      </x:c>
      <x:c r="L138" t="str">
        <x:f>IF(Data!$P138="High",IF(Data!L138="","",Data!L138),"")</x:f>
        <x:v>OK</x:v>
      </x:c>
      <x:c r="M138" t="str">
        <x:f>IF(Data!$P138="High",IF(Data!M138="","",Data!M138),"")</x:f>
        <x:v>Matched</x:v>
      </x:c>
      <x:c r="N138" t="str">
        <x:f>IF(Data!$P138="High",IF(Data!N138="","",Data!N138),"")</x:f>
        <x:v>Review Tax</x:v>
      </x:c>
      <x:c r="O138" s="100" t="n">
        <x:f>IF(Data!$P138="High",Data!O138,"")</x:f>
        <x:v>47</x:v>
      </x:c>
      <x:c r="P138" t="str">
        <x:f>IF(Data!$P138="High",IF(Data!P138="","",Data!P138),"")</x:f>
        <x:v>High</x:v>
      </x:c>
      <x:c r="Q138" t="str">
        <x:f>IF(Data!$P138="High",IF(Data!Q138="","",Data!Q138),"")</x:f>
        <x:v>Tax variance; Overdue; Approval issue</x:v>
      </x:c>
    </x:row>
    <x:row r="139">
      <x:c r="A139" t="str">
        <x:f>IF(Data!$P139="High",IF(Data!A139="","",Data!A139),"")</x:f>
        <x:v>AP-0138</x:v>
      </x:c>
      <x:c r="B139" t="str">
        <x:f>IF(Data!$P139="High",IF(Data!B139="","",Data!B139),"")</x:f>
        <x:v>Vendor 4</x:v>
      </x:c>
      <x:c r="C139" t="str">
        <x:f>IF(Data!$P139="High",IF(Data!C139="","",Data!C139),"")</x:f>
        <x:v>INV-31053</x:v>
      </x:c>
      <x:c r="D139" t="str">
        <x:f>IF(Data!$P139="High",IF(Data!D139="","",Data!D139),"")</x:f>
        <x:v>PO-1067</x:v>
      </x:c>
      <x:c r="E139" s="123" t="n">
        <x:f>IF(Data!$P139="High",IF(Data!E139="","",Data!E139),"")</x:f>
        <x:v>46151</x:v>
      </x:c>
      <x:c r="F139" s="123" t="n">
        <x:f>IF(Data!$P139="High",IF(Data!F139="","",Data!F139),"")</x:f>
        <x:v>46181</x:v>
      </x:c>
      <x:c r="G139" s="124" t="n">
        <x:f>IF(Data!$P139="High",IF(Data!G139="","",Data!G139),"")</x:f>
        <x:v>1565.27</x:v>
      </x:c>
      <x:c r="H139" s="124" t="n">
        <x:f>IF(Data!$P139="High",IF(Data!H139="","",Data!H139),"")</x:f>
        <x:v>203.49</x:v>
      </x:c>
      <x:c r="I139" s="124" t="n">
        <x:f>IF(Data!$P139="High",IF(Data!I139="","",Data!I139),"")</x:f>
        <x:v>1768.76</x:v>
      </x:c>
      <x:c r="J139" t="str">
        <x:f>IF(Data!$P139="High",IF(Data!J139="","",Data!J139),"")</x:f>
        <x:v>Paid</x:v>
      </x:c>
      <x:c r="K139" t="str">
        <x:f>IF(Data!$P139="High",IF(Data!K139="","",Data!K139),"")</x:f>
        <x:v>Rejected</x:v>
      </x:c>
      <x:c r="L139" t="str">
        <x:f>IF(Data!$P139="High",IF(Data!L139="","",Data!L139),"")</x:f>
        <x:v>OK</x:v>
      </x:c>
      <x:c r="M139" t="str">
        <x:f>IF(Data!$P139="High",IF(Data!M139="","",Data!M139),"")</x:f>
        <x:v>Matched</x:v>
      </x:c>
      <x:c r="N139" t="str">
        <x:f>IF(Data!$P139="High",IF(Data!N139="","",Data!N139),"")</x:f>
        <x:v>OK</x:v>
      </x:c>
      <x:c r="O139" s="100" t="n">
        <x:f>IF(Data!$P139="High",Data!O139,"")</x:f>
        <x:v>0</x:v>
      </x:c>
      <x:c r="P139" t="str">
        <x:f>IF(Data!$P139="High",IF(Data!P139="","",Data!P139),"")</x:f>
        <x:v>High</x:v>
      </x:c>
      <x:c r="Q139" t="str">
        <x:f>IF(Data!$P139="High",IF(Data!Q139="","",Data!Q139),"")</x:f>
        <x:v>Approval issue</x:v>
      </x:c>
    </x:row>
    <x:row r="140">
      <x:c r="A140" t="str">
        <x:f>IF(Data!$P140="High",IF(Data!A140="","",Data!A140),"")</x:f>
        <x:v>AP-0139</x:v>
      </x:c>
      <x:c r="B140" t="str">
        <x:f>IF(Data!$P140="High",IF(Data!B140="","",Data!B140),"")</x:f>
        <x:v>Vendor 15</x:v>
      </x:c>
      <x:c r="C140" t="str">
        <x:f>IF(Data!$P140="High",IF(Data!C140="","",Data!C140),"")</x:f>
        <x:v>INV-26636</x:v>
      </x:c>
      <x:c r="D140" t="str">
        <x:f>IF(Data!$P140="High",IF(Data!D140="","",Data!D140),"")</x:f>
      </x:c>
      <x:c r="E140" s="123" t="n">
        <x:f>IF(Data!$P140="High",IF(Data!E140="","",Data!E140),"")</x:f>
        <x:v>46192</x:v>
      </x:c>
      <x:c r="F140" s="123" t="n">
        <x:f>IF(Data!$P140="High",IF(Data!F140="","",Data!F140),"")</x:f>
        <x:v>46237</x:v>
      </x:c>
      <x:c r="G140" s="124" t="n">
        <x:f>IF(Data!$P140="High",IF(Data!G140="","",Data!G140),"")</x:f>
        <x:v>2992.92</x:v>
      </x:c>
      <x:c r="H140" s="124" t="n">
        <x:f>IF(Data!$P140="High",IF(Data!H140="","",Data!H140),"")</x:f>
        <x:v>389.08</x:v>
      </x:c>
      <x:c r="I140" s="124" t="n">
        <x:f>IF(Data!$P140="High",IF(Data!I140="","",Data!I140),"")</x:f>
        <x:v>3382</x:v>
      </x:c>
      <x:c r="J140" t="str">
        <x:f>IF(Data!$P140="High",IF(Data!J140="","",Data!J140),"")</x:f>
        <x:v>Unpaid</x:v>
      </x:c>
      <x:c r="K140" t="str">
        <x:f>IF(Data!$P140="High",IF(Data!K140="","",Data!K140),"")</x:f>
        <x:v>Rejected</x:v>
      </x:c>
      <x:c r="L140" t="str">
        <x:f>IF(Data!$P140="High",IF(Data!L140="","",Data!L140),"")</x:f>
        <x:v>OK</x:v>
      </x:c>
      <x:c r="M140" t="str">
        <x:f>IF(Data!$P140="High",IF(Data!M140="","",Data!M140),"")</x:f>
        <x:v>Missing PO</x:v>
      </x:c>
      <x:c r="N140" t="str">
        <x:f>IF(Data!$P140="High",IF(Data!N140="","",Data!N140),"")</x:f>
        <x:v>OK</x:v>
      </x:c>
      <x:c r="O140" s="100" t="n">
        <x:f>IF(Data!$P140="High",Data!O140,"")</x:f>
        <x:v>0</x:v>
      </x:c>
      <x:c r="P140" t="str">
        <x:f>IF(Data!$P140="High",IF(Data!P140="","",Data!P140),"")</x:f>
        <x:v>High</x:v>
      </x:c>
      <x:c r="Q140" t="str">
        <x:f>IF(Data!$P140="High",IF(Data!Q140="","",Data!Q140),"")</x:f>
        <x:v>Missing PO; Approval issue</x:v>
      </x:c>
    </x:row>
    <x:row r="141">
      <x:c r="A141" t="str">
        <x:f>IF(Data!$P141="High",IF(Data!A141="","",Data!A141),"")</x:f>
        <x:v>AP-0140</x:v>
      </x:c>
      <x:c r="B141" t="str">
        <x:f>IF(Data!$P141="High",IF(Data!B141="","",Data!B141),"")</x:f>
        <x:v>Vendor 20</x:v>
      </x:c>
      <x:c r="C141" t="str">
        <x:f>IF(Data!$P141="High",IF(Data!C141="","",Data!C141),"")</x:f>
        <x:v>INV-44466</x:v>
      </x:c>
      <x:c r="D141" t="str">
        <x:f>IF(Data!$P141="High",IF(Data!D141="","",Data!D141),"")</x:f>
      </x:c>
      <x:c r="E141" s="123" t="n">
        <x:f>IF(Data!$P141="High",IF(Data!E141="","",Data!E141),"")</x:f>
        <x:v>46157</x:v>
      </x:c>
      <x:c r="F141" s="123" t="n">
        <x:f>IF(Data!$P141="High",IF(Data!F141="","",Data!F141),"")</x:f>
        <x:v>46202</x:v>
      </x:c>
      <x:c r="G141" s="124" t="n">
        <x:f>IF(Data!$P141="High",IF(Data!G141="","",Data!G141),"")</x:f>
        <x:v>1176.39</x:v>
      </x:c>
      <x:c r="H141" s="124" t="n">
        <x:f>IF(Data!$P141="High",IF(Data!H141="","",Data!H141),"")</x:f>
        <x:v>157.1</x:v>
      </x:c>
      <x:c r="I141" s="124" t="n">
        <x:f>IF(Data!$P141="High",IF(Data!I141="","",Data!I141),"")</x:f>
        <x:v>1333.49</x:v>
      </x:c>
      <x:c r="J141" t="str">
        <x:f>IF(Data!$P141="High",IF(Data!J141="","",Data!J141),"")</x:f>
        <x:v>On Hold</x:v>
      </x:c>
      <x:c r="K141" t="str">
        <x:f>IF(Data!$P141="High",IF(Data!K141="","",Data!K141),"")</x:f>
        <x:v>Approved</x:v>
      </x:c>
      <x:c r="L141" t="str">
        <x:f>IF(Data!$P141="High",IF(Data!L141="","",Data!L141),"")</x:f>
        <x:v>OK</x:v>
      </x:c>
      <x:c r="M141" t="str">
        <x:f>IF(Data!$P141="High",IF(Data!M141="","",Data!M141),"")</x:f>
        <x:v>Missing PO</x:v>
      </x:c>
      <x:c r="N141" t="str">
        <x:f>IF(Data!$P141="High",IF(Data!N141="","",Data!N141),"")</x:f>
        <x:v>Review Tax</x:v>
      </x:c>
      <x:c r="O141" s="100" t="n">
        <x:f>IF(Data!$P141="High",Data!O141,"")</x:f>
        <x:v>30</x:v>
      </x:c>
      <x:c r="P141" t="str">
        <x:f>IF(Data!$P141="High",IF(Data!P141="","",Data!P141),"")</x:f>
        <x:v>High</x:v>
      </x:c>
      <x:c r="Q141" t="str">
        <x:f>IF(Data!$P141="High",IF(Data!Q141="","",Data!Q141),"")</x:f>
        <x:v>Missing PO; Tax variance; Overdue</x:v>
      </x:c>
    </x:row>
    <x:row r="142">
      <x:c r="A142" t="str">
        <x:f>IF(Data!$P142="High",IF(Data!A142="","",Data!A142),"")</x:f>
        <x:v>AP-0141</x:v>
      </x:c>
      <x:c r="B142" t="str">
        <x:f>IF(Data!$P142="High",IF(Data!B142="","",Data!B142),"")</x:f>
        <x:v>Vendor 17</x:v>
      </x:c>
      <x:c r="C142" t="str">
        <x:f>IF(Data!$P142="High",IF(Data!C142="","",Data!C142),"")</x:f>
        <x:v>INV-23647</x:v>
      </x:c>
      <x:c r="D142" t="str">
        <x:f>IF(Data!$P142="High",IF(Data!D142="","",Data!D142),"")</x:f>
        <x:v>PO-1031</x:v>
      </x:c>
      <x:c r="E142" s="123" t="n">
        <x:f>IF(Data!$P142="High",IF(Data!E142="","",Data!E142),"")</x:f>
        <x:v>46162</x:v>
      </x:c>
      <x:c r="F142" s="123" t="n">
        <x:f>IF(Data!$P142="High",IF(Data!F142="","",Data!F142),"")</x:f>
        <x:v>46192</x:v>
      </x:c>
      <x:c r="G142" s="124" t="n">
        <x:f>IF(Data!$P142="High",IF(Data!G142="","",Data!G142),"")</x:f>
        <x:v>11672.63</x:v>
      </x:c>
      <x:c r="H142" s="124" t="n">
        <x:f>IF(Data!$P142="High",IF(Data!H142="","",Data!H142),"")</x:f>
        <x:v>1517.44</x:v>
      </x:c>
      <x:c r="I142" s="124" t="n">
        <x:f>IF(Data!$P142="High",IF(Data!I142="","",Data!I142),"")</x:f>
        <x:v>13190.07</x:v>
      </x:c>
      <x:c r="J142" t="str">
        <x:f>IF(Data!$P142="High",IF(Data!J142="","",Data!J142),"")</x:f>
        <x:v>Unpaid</x:v>
      </x:c>
      <x:c r="K142" t="str">
        <x:f>IF(Data!$P142="High",IF(Data!K142="","",Data!K142),"")</x:f>
        <x:v>Pending</x:v>
      </x:c>
      <x:c r="L142" t="str">
        <x:f>IF(Data!$P142="High",IF(Data!L142="","",Data!L142),"")</x:f>
        <x:v>OK</x:v>
      </x:c>
      <x:c r="M142" t="str">
        <x:f>IF(Data!$P142="High",IF(Data!M142="","",Data!M142),"")</x:f>
        <x:v>Matched</x:v>
      </x:c>
      <x:c r="N142" t="str">
        <x:f>IF(Data!$P142="High",IF(Data!N142="","",Data!N142),"")</x:f>
        <x:v>OK</x:v>
      </x:c>
      <x:c r="O142" s="100" t="n">
        <x:f>IF(Data!$P142="High",Data!O142,"")</x:f>
        <x:v>40</x:v>
      </x:c>
      <x:c r="P142" t="str">
        <x:f>IF(Data!$P142="High",IF(Data!P142="","",Data!P142),"")</x:f>
        <x:v>High</x:v>
      </x:c>
      <x:c r="Q142" t="str">
        <x:f>IF(Data!$P142="High",IF(Data!Q142="","",Data!Q142),"")</x:f>
        <x:v>Overdue; Approval issue</x:v>
      </x:c>
    </x:row>
    <x:row r="143">
      <x:c r="A143" t="str">
        <x:f>IF(Data!$P143="High",IF(Data!A143="","",Data!A143),"")</x:f>
        <x:v>AP-0142</x:v>
      </x:c>
      <x:c r="B143" t="str">
        <x:f>IF(Data!$P143="High",IF(Data!B143="","",Data!B143),"")</x:f>
        <x:v>Vendor 15</x:v>
      </x:c>
      <x:c r="C143" t="str">
        <x:f>IF(Data!$P143="High",IF(Data!C143="","",Data!C143),"")</x:f>
        <x:v>INV-38861</x:v>
      </x:c>
      <x:c r="D143" t="str">
        <x:f>IF(Data!$P143="High",IF(Data!D143="","",Data!D143),"")</x:f>
        <x:v>PO-1041</x:v>
      </x:c>
      <x:c r="E143" s="123" t="n">
        <x:f>IF(Data!$P143="High",IF(Data!E143="","",Data!E143),"")</x:f>
        <x:v>46198</x:v>
      </x:c>
      <x:c r="F143" s="123" t="n">
        <x:f>IF(Data!$P143="High",IF(Data!F143="","",Data!F143),"")</x:f>
        <x:v>46213</x:v>
      </x:c>
      <x:c r="G143" s="124" t="n">
        <x:f>IF(Data!$P143="High",IF(Data!G143="","",Data!G143),"")</x:f>
        <x:v>10926.4</x:v>
      </x:c>
      <x:c r="H143" s="124" t="n">
        <x:f>IF(Data!$P143="High",IF(Data!H143="","",Data!H143),"")</x:f>
        <x:v>1420.43</x:v>
      </x:c>
      <x:c r="I143" s="124" t="n">
        <x:f>IF(Data!$P143="High",IF(Data!I143="","",Data!I143),"")</x:f>
        <x:v>12346.83</x:v>
      </x:c>
      <x:c r="J143" t="str">
        <x:f>IF(Data!$P143="High",IF(Data!J143="","",Data!J143),"")</x:f>
        <x:v>Unpaid</x:v>
      </x:c>
      <x:c r="K143" t="str">
        <x:f>IF(Data!$P143="High",IF(Data!K143="","",Data!K143),"")</x:f>
        <x:v>Rejected</x:v>
      </x:c>
      <x:c r="L143" t="str">
        <x:f>IF(Data!$P143="High",IF(Data!L143="","",Data!L143),"")</x:f>
        <x:v>OK</x:v>
      </x:c>
      <x:c r="M143" t="str">
        <x:f>IF(Data!$P143="High",IF(Data!M143="","",Data!M143),"")</x:f>
        <x:v>Matched</x:v>
      </x:c>
      <x:c r="N143" t="str">
        <x:f>IF(Data!$P143="High",IF(Data!N143="","",Data!N143),"")</x:f>
        <x:v>OK</x:v>
      </x:c>
      <x:c r="O143" s="100" t="n">
        <x:f>IF(Data!$P143="High",Data!O143,"")</x:f>
        <x:v>19</x:v>
      </x:c>
      <x:c r="P143" t="str">
        <x:f>IF(Data!$P143="High",IF(Data!P143="","",Data!P143),"")</x:f>
        <x:v>High</x:v>
      </x:c>
      <x:c r="Q143" t="str">
        <x:f>IF(Data!$P143="High",IF(Data!Q143="","",Data!Q143),"")</x:f>
        <x:v>Overdue; Approval issue</x:v>
      </x:c>
    </x:row>
    <x:row r="144">
      <x:c r="A144" t="str">
        <x:f>IF(Data!$P144="High",IF(Data!A144="","",Data!A144),"")</x:f>
        <x:v>AP-0143</x:v>
      </x:c>
      <x:c r="B144" t="str">
        <x:f>IF(Data!$P144="High",IF(Data!B144="","",Data!B144),"")</x:f>
        <x:v>Vendor 9</x:v>
      </x:c>
      <x:c r="C144" t="str">
        <x:f>IF(Data!$P144="High",IF(Data!C144="","",Data!C144),"")</x:f>
        <x:v>INV-30253</x:v>
      </x:c>
      <x:c r="D144" t="str">
        <x:f>IF(Data!$P144="High",IF(Data!D144="","",Data!D144),"")</x:f>
      </x:c>
      <x:c r="E144" s="123" t="n">
        <x:f>IF(Data!$P144="High",IF(Data!E144="","",Data!E144),"")</x:f>
        <x:v>46175</x:v>
      </x:c>
      <x:c r="F144" s="123" t="n">
        <x:f>IF(Data!$P144="High",IF(Data!F144="","",Data!F144),"")</x:f>
        <x:v>46220</x:v>
      </x:c>
      <x:c r="G144" s="124" t="n">
        <x:f>IF(Data!$P144="High",IF(Data!G144="","",Data!G144),"")</x:f>
        <x:v>8595.81</x:v>
      </x:c>
      <x:c r="H144" s="124" t="n">
        <x:f>IF(Data!$P144="High",IF(Data!H144="","",Data!H144),"")</x:f>
        <x:v>1117.46</x:v>
      </x:c>
      <x:c r="I144" s="124" t="n">
        <x:f>IF(Data!$P144="High",IF(Data!I144="","",Data!I144),"")</x:f>
        <x:v>9713.27</x:v>
      </x:c>
      <x:c r="J144" t="str">
        <x:f>IF(Data!$P144="High",IF(Data!J144="","",Data!J144),"")</x:f>
        <x:v>On Hold</x:v>
      </x:c>
      <x:c r="K144" t="str">
        <x:f>IF(Data!$P144="High",IF(Data!K144="","",Data!K144),"")</x:f>
        <x:v>Approved</x:v>
      </x:c>
      <x:c r="L144" t="str">
        <x:f>IF(Data!$P144="High",IF(Data!L144="","",Data!L144),"")</x:f>
        <x:v>Duplicate Risk</x:v>
      </x:c>
      <x:c r="M144" t="str">
        <x:f>IF(Data!$P144="High",IF(Data!M144="","",Data!M144),"")</x:f>
        <x:v>Missing PO</x:v>
      </x:c>
      <x:c r="N144" t="str">
        <x:f>IF(Data!$P144="High",IF(Data!N144="","",Data!N144),"")</x:f>
        <x:v>OK</x:v>
      </x:c>
      <x:c r="O144" s="100" t="n">
        <x:f>IF(Data!$P144="High",Data!O144,"")</x:f>
        <x:v>12</x:v>
      </x:c>
      <x:c r="P144" t="str">
        <x:f>IF(Data!$P144="High",IF(Data!P144="","",Data!P144),"")</x:f>
        <x:v>High</x:v>
      </x:c>
      <x:c r="Q144" t="str">
        <x:f>IF(Data!$P144="High",IF(Data!Q144="","",Data!Q144),"")</x:f>
        <x:v>Duplicate risk; Missing PO; Overdue</x:v>
      </x:c>
    </x:row>
    <x:row r="145">
      <x:c r="A145" t="str">
        <x:f>IF(Data!$P145="High",IF(Data!A145="","",Data!A145),"")</x:f>
      </x:c>
      <x:c r="B145" t="str">
        <x:f>IF(Data!$P145="High",IF(Data!B145="","",Data!B145),"")</x:f>
      </x:c>
      <x:c r="C145" t="str">
        <x:f>IF(Data!$P145="High",IF(Data!C145="","",Data!C145),"")</x:f>
      </x:c>
      <x:c r="D145" t="str">
        <x:f>IF(Data!$P145="High",IF(Data!D145="","",Data!D145),"")</x:f>
      </x:c>
      <x:c r="E145" s="123" t="str">
        <x:f>IF(Data!$P145="High",IF(Data!E145="","",Data!E145),"")</x:f>
      </x:c>
      <x:c r="F145" s="123" t="str">
        <x:f>IF(Data!$P145="High",IF(Data!F145="","",Data!F145),"")</x:f>
      </x:c>
      <x:c r="G145" s="124" t="str">
        <x:f>IF(Data!$P145="High",IF(Data!G145="","",Data!G145),"")</x:f>
      </x:c>
      <x:c r="H145" s="124" t="str">
        <x:f>IF(Data!$P145="High",IF(Data!H145="","",Data!H145),"")</x:f>
      </x:c>
      <x:c r="I145" s="124" t="str">
        <x:f>IF(Data!$P145="High",IF(Data!I145="","",Data!I145),"")</x:f>
      </x:c>
      <x:c r="J145" t="str">
        <x:f>IF(Data!$P145="High",IF(Data!J145="","",Data!J145),"")</x:f>
      </x:c>
      <x:c r="K145" t="str">
        <x:f>IF(Data!$P145="High",IF(Data!K145="","",Data!K145),"")</x:f>
      </x:c>
      <x:c r="L145" t="str">
        <x:f>IF(Data!$P145="High",IF(Data!L145="","",Data!L145),"")</x:f>
      </x:c>
      <x:c r="M145" t="str">
        <x:f>IF(Data!$P145="High",IF(Data!M145="","",Data!M145),"")</x:f>
      </x:c>
      <x:c r="N145" t="str">
        <x:f>IF(Data!$P145="High",IF(Data!N145="","",Data!N145),"")</x:f>
      </x:c>
      <x:c r="O145" s="100" t="str">
        <x:f>IF(Data!$P145="High",Data!O145,"")</x:f>
      </x:c>
      <x:c r="P145" t="str">
        <x:f>IF(Data!$P145="High",IF(Data!P145="","",Data!P145),"")</x:f>
      </x:c>
      <x:c r="Q145" t="str">
        <x:f>IF(Data!$P145="High",IF(Data!Q145="","",Data!Q145),"")</x:f>
      </x:c>
    </x:row>
    <x:row r="146">
      <x:c r="A146" t="str">
        <x:f>IF(Data!$P146="High",IF(Data!A146="","",Data!A146),"")</x:f>
        <x:v>AP-0145</x:v>
      </x:c>
      <x:c r="B146" t="str">
        <x:f>IF(Data!$P146="High",IF(Data!B146="","",Data!B146),"")</x:f>
        <x:v>Vendor 8</x:v>
      </x:c>
      <x:c r="C146" t="str">
        <x:f>IF(Data!$P146="High",IF(Data!C146="","",Data!C146),"")</x:f>
        <x:v>INV-41142</x:v>
      </x:c>
      <x:c r="D146" t="str">
        <x:f>IF(Data!$P146="High",IF(Data!D146="","",Data!D146),"")</x:f>
        <x:v>PO-1025</x:v>
      </x:c>
      <x:c r="E146" s="123" t="n">
        <x:f>IF(Data!$P146="High",IF(Data!E146="","",Data!E146),"")</x:f>
        <x:v>46182</x:v>
      </x:c>
      <x:c r="F146" s="123" t="n">
        <x:f>IF(Data!$P146="High",IF(Data!F146="","",Data!F146),"")</x:f>
        <x:v>46212</x:v>
      </x:c>
      <x:c r="G146" s="124" t="n">
        <x:f>IF(Data!$P146="High",IF(Data!G146="","",Data!G146),"")</x:f>
        <x:v>3356</x:v>
      </x:c>
      <x:c r="H146" s="124" t="n">
        <x:f>IF(Data!$P146="High",IF(Data!H146="","",Data!H146),"")</x:f>
        <x:v>436.28</x:v>
      </x:c>
      <x:c r="I146" s="124" t="n">
        <x:f>IF(Data!$P146="High",IF(Data!I146="","",Data!I146),"")</x:f>
        <x:v>3792.2799999999997</x:v>
      </x:c>
      <x:c r="J146" t="str">
        <x:f>IF(Data!$P146="High",IF(Data!J146="","",Data!J146),"")</x:f>
        <x:v>Paid</x:v>
      </x:c>
      <x:c r="K146" t="str">
        <x:f>IF(Data!$P146="High",IF(Data!K146="","",Data!K146),"")</x:f>
        <x:v>Rejected</x:v>
      </x:c>
      <x:c r="L146" t="str">
        <x:f>IF(Data!$P146="High",IF(Data!L146="","",Data!L146),"")</x:f>
        <x:v>OK</x:v>
      </x:c>
      <x:c r="M146" t="str">
        <x:f>IF(Data!$P146="High",IF(Data!M146="","",Data!M146),"")</x:f>
        <x:v>Matched</x:v>
      </x:c>
      <x:c r="N146" t="str">
        <x:f>IF(Data!$P146="High",IF(Data!N146="","",Data!N146),"")</x:f>
        <x:v>OK</x:v>
      </x:c>
      <x:c r="O146" s="100" t="n">
        <x:f>IF(Data!$P146="High",Data!O146,"")</x:f>
        <x:v>0</x:v>
      </x:c>
      <x:c r="P146" t="str">
        <x:f>IF(Data!$P146="High",IF(Data!P146="","",Data!P146),"")</x:f>
        <x:v>High</x:v>
      </x:c>
      <x:c r="Q146" t="str">
        <x:f>IF(Data!$P146="High",IF(Data!Q146="","",Data!Q146),"")</x:f>
        <x:v>Approval issue</x:v>
      </x:c>
    </x:row>
    <x:row r="147">
      <x:c r="A147" t="str">
        <x:f>IF(Data!$P147="High",IF(Data!A147="","",Data!A147),"")</x:f>
        <x:v>AP-0146</x:v>
      </x:c>
      <x:c r="B147" t="str">
        <x:f>IF(Data!$P147="High",IF(Data!B147="","",Data!B147),"")</x:f>
        <x:v>Vendor 20</x:v>
      </x:c>
      <x:c r="C147" t="str">
        <x:f>IF(Data!$P147="High",IF(Data!C147="","",Data!C147),"")</x:f>
        <x:v>INV-32290</x:v>
      </x:c>
      <x:c r="D147" t="str">
        <x:f>IF(Data!$P147="High",IF(Data!D147="","",Data!D147),"")</x:f>
      </x:c>
      <x:c r="E147" s="123" t="n">
        <x:f>IF(Data!$P147="High",IF(Data!E147="","",Data!E147),"")</x:f>
        <x:v>46152</x:v>
      </x:c>
      <x:c r="F147" s="123" t="n">
        <x:f>IF(Data!$P147="High",IF(Data!F147="","",Data!F147),"")</x:f>
        <x:v>46167</x:v>
      </x:c>
      <x:c r="G147" s="124" t="n">
        <x:f>IF(Data!$P147="High",IF(Data!G147="","",Data!G147),"")</x:f>
        <x:v>9789.1</x:v>
      </x:c>
      <x:c r="H147" s="124" t="n">
        <x:f>IF(Data!$P147="High",IF(Data!H147="","",Data!H147),"")</x:f>
        <x:v>1272.58</x:v>
      </x:c>
      <x:c r="I147" s="124" t="n">
        <x:f>IF(Data!$P147="High",IF(Data!I147="","",Data!I147),"")</x:f>
        <x:v>11061.68</x:v>
      </x:c>
      <x:c r="J147" t="str">
        <x:f>IF(Data!$P147="High",IF(Data!J147="","",Data!J147),"")</x:f>
        <x:v>Paid</x:v>
      </x:c>
      <x:c r="K147" t="str">
        <x:f>IF(Data!$P147="High",IF(Data!K147="","",Data!K147),"")</x:f>
        <x:v>Pending</x:v>
      </x:c>
      <x:c r="L147" t="str">
        <x:f>IF(Data!$P147="High",IF(Data!L147="","",Data!L147),"")</x:f>
        <x:v>OK</x:v>
      </x:c>
      <x:c r="M147" t="str">
        <x:f>IF(Data!$P147="High",IF(Data!M147="","",Data!M147),"")</x:f>
        <x:v>Missing PO</x:v>
      </x:c>
      <x:c r="N147" t="str">
        <x:f>IF(Data!$P147="High",IF(Data!N147="","",Data!N147),"")</x:f>
        <x:v>OK</x:v>
      </x:c>
      <x:c r="O147" s="100" t="n">
        <x:f>IF(Data!$P147="High",Data!O147,"")</x:f>
        <x:v>0</x:v>
      </x:c>
      <x:c r="P147" t="str">
        <x:f>IF(Data!$P147="High",IF(Data!P147="","",Data!P147),"")</x:f>
        <x:v>High</x:v>
      </x:c>
      <x:c r="Q147" t="str">
        <x:f>IF(Data!$P147="High",IF(Data!Q147="","",Data!Q147),"")</x:f>
        <x:v>Missing PO; Approval issue</x:v>
      </x:c>
    </x:row>
    <x:row r="148">
      <x:c r="A148" t="str">
        <x:f>IF(Data!$P148="High",IF(Data!A148="","",Data!A148),"")</x:f>
        <x:v>AP-0147</x:v>
      </x:c>
      <x:c r="B148" t="str">
        <x:f>IF(Data!$P148="High",IF(Data!B148="","",Data!B148),"")</x:f>
        <x:v>Vendor 15</x:v>
      </x:c>
      <x:c r="C148" t="str">
        <x:f>IF(Data!$P148="High",IF(Data!C148="","",Data!C148),"")</x:f>
        <x:v>INV-44688</x:v>
      </x:c>
      <x:c r="D148" t="str">
        <x:f>IF(Data!$P148="High",IF(Data!D148="","",Data!D148),"")</x:f>
      </x:c>
      <x:c r="E148" s="123" t="n">
        <x:f>IF(Data!$P148="High",IF(Data!E148="","",Data!E148),"")</x:f>
        <x:v>46188</x:v>
      </x:c>
      <x:c r="F148" s="123" t="n">
        <x:f>IF(Data!$P148="High",IF(Data!F148="","",Data!F148),"")</x:f>
        <x:v>46233</x:v>
      </x:c>
      <x:c r="G148" s="124" t="n">
        <x:f>IF(Data!$P148="High",IF(Data!G148="","",Data!G148),"")</x:f>
        <x:v>11501.55</x:v>
      </x:c>
      <x:c r="H148" s="124" t="n">
        <x:f>IF(Data!$P148="High",IF(Data!H148="","",Data!H148),"")</x:f>
        <x:v>1495.2</x:v>
      </x:c>
      <x:c r="I148" s="124" t="n">
        <x:f>IF(Data!$P148="High",IF(Data!I148="","",Data!I148),"")</x:f>
        <x:v>12996.75</x:v>
      </x:c>
      <x:c r="J148" t="str">
        <x:f>IF(Data!$P148="High",IF(Data!J148="","",Data!J148),"")</x:f>
        <x:v>Unpaid</x:v>
      </x:c>
      <x:c r="K148" t="str">
        <x:f>IF(Data!$P148="High",IF(Data!K148="","",Data!K148),"")</x:f>
        <x:v>Pending</x:v>
      </x:c>
      <x:c r="L148" t="str">
        <x:f>IF(Data!$P148="High",IF(Data!L148="","",Data!L148),"")</x:f>
        <x:v>OK</x:v>
      </x:c>
      <x:c r="M148" t="str">
        <x:f>IF(Data!$P148="High",IF(Data!M148="","",Data!M148),"")</x:f>
        <x:v>Missing PO</x:v>
      </x:c>
      <x:c r="N148" t="str">
        <x:f>IF(Data!$P148="High",IF(Data!N148="","",Data!N148),"")</x:f>
        <x:v>OK</x:v>
      </x:c>
      <x:c r="O148" s="100" t="n">
        <x:f>IF(Data!$P148="High",Data!O148,"")</x:f>
        <x:v>0</x:v>
      </x:c>
      <x:c r="P148" t="str">
        <x:f>IF(Data!$P148="High",IF(Data!P148="","",Data!P148),"")</x:f>
        <x:v>High</x:v>
      </x:c>
      <x:c r="Q148" t="str">
        <x:f>IF(Data!$P148="High",IF(Data!Q148="","",Data!Q148),"")</x:f>
        <x:v>Missing PO; Approval issue</x:v>
      </x:c>
    </x:row>
    <x:row r="149">
      <x:c r="A149" t="str">
        <x:f>IF(Data!$P149="High",IF(Data!A149="","",Data!A149),"")</x:f>
        <x:v>AP-0148</x:v>
      </x:c>
      <x:c r="B149" t="str">
        <x:f>IF(Data!$P149="High",IF(Data!B149="","",Data!B149),"")</x:f>
        <x:v>Vendor 28</x:v>
      </x:c>
      <x:c r="C149" t="str">
        <x:f>IF(Data!$P149="High",IF(Data!C149="","",Data!C149),"")</x:f>
        <x:v>INV-40301</x:v>
      </x:c>
      <x:c r="D149" t="str">
        <x:f>IF(Data!$P149="High",IF(Data!D149="","",Data!D149),"")</x:f>
        <x:v>PO-1001</x:v>
      </x:c>
      <x:c r="E149" s="123" t="n">
        <x:f>IF(Data!$P149="High",IF(Data!E149="","",Data!E149),"")</x:f>
        <x:v>46186</x:v>
      </x:c>
      <x:c r="F149" s="123" t="n">
        <x:f>IF(Data!$P149="High",IF(Data!F149="","",Data!F149),"")</x:f>
        <x:v>46216</x:v>
      </x:c>
      <x:c r="G149" s="124" t="n">
        <x:f>IF(Data!$P149="High",IF(Data!G149="","",Data!G149),"")</x:f>
        <x:v>11079.91</x:v>
      </x:c>
      <x:c r="H149" s="124" t="n">
        <x:f>IF(Data!$P149="High",IF(Data!H149="","",Data!H149),"")</x:f>
        <x:v>1447.69</x:v>
      </x:c>
      <x:c r="I149" s="124" t="n">
        <x:f>IF(Data!$P149="High",IF(Data!I149="","",Data!I149),"")</x:f>
        <x:v>12527.6</x:v>
      </x:c>
      <x:c r="J149" t="str">
        <x:f>IF(Data!$P149="High",IF(Data!J149="","",Data!J149),"")</x:f>
        <x:v>Unpaid</x:v>
      </x:c>
      <x:c r="K149" t="str">
        <x:f>IF(Data!$P149="High",IF(Data!K149="","",Data!K149),"")</x:f>
        <x:v>Approved</x:v>
      </x:c>
      <x:c r="L149" t="str">
        <x:f>IF(Data!$P149="High",IF(Data!L149="","",Data!L149),"")</x:f>
        <x:v>OK</x:v>
      </x:c>
      <x:c r="M149" t="str">
        <x:f>IF(Data!$P149="High",IF(Data!M149="","",Data!M149),"")</x:f>
        <x:v>Matched</x:v>
      </x:c>
      <x:c r="N149" t="str">
        <x:f>IF(Data!$P149="High",IF(Data!N149="","",Data!N149),"")</x:f>
        <x:v>Review Tax</x:v>
      </x:c>
      <x:c r="O149" s="100" t="n">
        <x:f>IF(Data!$P149="High",Data!O149,"")</x:f>
        <x:v>16</x:v>
      </x:c>
      <x:c r="P149" t="str">
        <x:f>IF(Data!$P149="High",IF(Data!P149="","",Data!P149),"")</x:f>
        <x:v>High</x:v>
      </x:c>
      <x:c r="Q149" t="str">
        <x:f>IF(Data!$P149="High",IF(Data!Q149="","",Data!Q149),"")</x:f>
        <x:v>Tax variance; Overdue</x:v>
      </x:c>
    </x:row>
    <x:row r="150">
      <x:c r="A150" t="str">
        <x:f>IF(Data!$P150="High",IF(Data!A150="","",Data!A150),"")</x:f>
      </x:c>
      <x:c r="B150" t="str">
        <x:f>IF(Data!$P150="High",IF(Data!B150="","",Data!B150),"")</x:f>
      </x:c>
      <x:c r="C150" t="str">
        <x:f>IF(Data!$P150="High",IF(Data!C150="","",Data!C150),"")</x:f>
      </x:c>
      <x:c r="D150" t="str">
        <x:f>IF(Data!$P150="High",IF(Data!D150="","",Data!D150),"")</x:f>
      </x:c>
      <x:c r="E150" s="123" t="str">
        <x:f>IF(Data!$P150="High",IF(Data!E150="","",Data!E150),"")</x:f>
      </x:c>
      <x:c r="F150" s="123" t="str">
        <x:f>IF(Data!$P150="High",IF(Data!F150="","",Data!F150),"")</x:f>
      </x:c>
      <x:c r="G150" s="124" t="str">
        <x:f>IF(Data!$P150="High",IF(Data!G150="","",Data!G150),"")</x:f>
      </x:c>
      <x:c r="H150" s="124" t="str">
        <x:f>IF(Data!$P150="High",IF(Data!H150="","",Data!H150),"")</x:f>
      </x:c>
      <x:c r="I150" s="124" t="str">
        <x:f>IF(Data!$P150="High",IF(Data!I150="","",Data!I150),"")</x:f>
      </x:c>
      <x:c r="J150" t="str">
        <x:f>IF(Data!$P150="High",IF(Data!J150="","",Data!J150),"")</x:f>
      </x:c>
      <x:c r="K150" t="str">
        <x:f>IF(Data!$P150="High",IF(Data!K150="","",Data!K150),"")</x:f>
      </x:c>
      <x:c r="L150" t="str">
        <x:f>IF(Data!$P150="High",IF(Data!L150="","",Data!L150),"")</x:f>
      </x:c>
      <x:c r="M150" t="str">
        <x:f>IF(Data!$P150="High",IF(Data!M150="","",Data!M150),"")</x:f>
      </x:c>
      <x:c r="N150" t="str">
        <x:f>IF(Data!$P150="High",IF(Data!N150="","",Data!N150),"")</x:f>
      </x:c>
      <x:c r="O150" s="100" t="str">
        <x:f>IF(Data!$P150="High",Data!O150,"")</x:f>
      </x:c>
      <x:c r="P150" t="str">
        <x:f>IF(Data!$P150="High",IF(Data!P150="","",Data!P150),"")</x:f>
      </x:c>
      <x:c r="Q150" t="str">
        <x:f>IF(Data!$P150="High",IF(Data!Q150="","",Data!Q150),"")</x:f>
      </x:c>
    </x:row>
    <x:row r="151">
      <x:c r="A151" t="str">
        <x:f>IF(Data!$P151="High",IF(Data!A151="","",Data!A151),"")</x:f>
        <x:v>AP-0150</x:v>
      </x:c>
      <x:c r="B151" t="str">
        <x:f>IF(Data!$P151="High",IF(Data!B151="","",Data!B151),"")</x:f>
        <x:v>Vendor 20</x:v>
      </x:c>
      <x:c r="C151" t="str">
        <x:f>IF(Data!$P151="High",IF(Data!C151="","",Data!C151),"")</x:f>
        <x:v>INV-36310</x:v>
      </x:c>
      <x:c r="D151" t="str">
        <x:f>IF(Data!$P151="High",IF(Data!D151="","",Data!D151),"")</x:f>
      </x:c>
      <x:c r="E151" s="123" t="n">
        <x:f>IF(Data!$P151="High",IF(Data!E151="","",Data!E151),"")</x:f>
        <x:v>46179</x:v>
      </x:c>
      <x:c r="F151" s="123" t="n">
        <x:f>IF(Data!$P151="High",IF(Data!F151="","",Data!F151),"")</x:f>
        <x:v>46209</x:v>
      </x:c>
      <x:c r="G151" s="124" t="n">
        <x:f>IF(Data!$P151="High",IF(Data!G151="","",Data!G151),"")</x:f>
        <x:v>6346.32</x:v>
      </x:c>
      <x:c r="H151" s="124" t="n">
        <x:f>IF(Data!$P151="High",IF(Data!H151="","",Data!H151),"")</x:f>
        <x:v>821.48</x:v>
      </x:c>
      <x:c r="I151" s="124" t="n">
        <x:f>IF(Data!$P151="High",IF(Data!I151="","",Data!I151),"")</x:f>
        <x:v>7167.799999999999</x:v>
      </x:c>
      <x:c r="J151" t="str">
        <x:f>IF(Data!$P151="High",IF(Data!J151="","",Data!J151),"")</x:f>
        <x:v>Paid</x:v>
      </x:c>
      <x:c r="K151" t="str">
        <x:f>IF(Data!$P151="High",IF(Data!K151="","",Data!K151),"")</x:f>
        <x:v>Pending</x:v>
      </x:c>
      <x:c r="L151" t="str">
        <x:f>IF(Data!$P151="High",IF(Data!L151="","",Data!L151),"")</x:f>
        <x:v>OK</x:v>
      </x:c>
      <x:c r="M151" t="str">
        <x:f>IF(Data!$P151="High",IF(Data!M151="","",Data!M151),"")</x:f>
        <x:v>Missing PO</x:v>
      </x:c>
      <x:c r="N151" t="str">
        <x:f>IF(Data!$P151="High",IF(Data!N151="","",Data!N151),"")</x:f>
        <x:v>Review Tax</x:v>
      </x:c>
      <x:c r="O151" s="100" t="n">
        <x:f>IF(Data!$P151="High",Data!O151,"")</x:f>
        <x:v>0</x:v>
      </x:c>
      <x:c r="P151" t="str">
        <x:f>IF(Data!$P151="High",IF(Data!P151="","",Data!P151),"")</x:f>
        <x:v>High</x:v>
      </x:c>
      <x:c r="Q151" t="str">
        <x:f>IF(Data!$P151="High",IF(Data!Q151="","",Data!Q151),"")</x:f>
        <x:v>Missing PO; Tax variance; Approval issue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96" t="str">
        <x:v>AP Invoice Dashboard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</x:row>
    <x:row r="2" ht="22" customHeight="1">
      <x:c r="A2" s="13" t="str">
        <x:v>Self-directed portfolio project with realistic sample data, formulas, controls, and dashboard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0" customHeight="1">
      <x:c r="A4" s="22" t="str">
        <x:v>KPI</x:v>
      </x:c>
      <x:c r="B4" s="22" t="str">
        <x:v>Value</x:v>
      </x:c>
      <x:c r="D4" s="41" t="str">
        <x:v>Category</x:v>
      </x:c>
      <x:c r="E4" s="41" t="str">
        <x:v>Value</x:v>
      </x:c>
    </x:row>
    <x:row r="5">
      <x:c r="A5" s="105" t="str">
        <x:v>Total Invoices</x:v>
      </x:c>
      <x:c r="B5" s="110" t="n">
        <x:f>COUNTA(Data!$A$2:$A$151)</x:f>
        <x:v>150</x:v>
      </x:c>
      <x:c r="D5" t="str">
        <x:v>Duplicate Risk</x:v>
      </x:c>
      <x:c r="E5" s="100" t="n">
        <x:f>COUNTIF(Data!$L$2:$L$151,"Duplicate Risk")</x:f>
        <x:v>13</x:v>
      </x:c>
    </x:row>
    <x:row r="6">
      <x:c r="A6" s="105" t="str">
        <x:v>Total AP Amount</x:v>
      </x:c>
      <x:c r="B6" s="125" t="n">
        <x:f>SUM(Data!$I$2:$I$151)</x:f>
        <x:v>1003456.77</x:v>
      </x:c>
      <x:c r="D6" t="str">
        <x:v>Missing PO</x:v>
      </x:c>
      <x:c r="E6" s="100" t="n">
        <x:f>COUNTIF(Data!$M$2:$M$151,"Missing PO")</x:f>
        <x:v>73</x:v>
      </x:c>
    </x:row>
    <x:row r="7">
      <x:c r="A7" s="105" t="str">
        <x:v>Duplicate Risks</x:v>
      </x:c>
      <x:c r="B7" s="110" t="n">
        <x:f>COUNTIF(Data!$L$2:$L$151,"Duplicate Risk")</x:f>
        <x:v>13</x:v>
      </x:c>
      <x:c r="D7" t="str">
        <x:v>Tax Review</x:v>
      </x:c>
      <x:c r="E7" s="100" t="n">
        <x:f>COUNTIF(Data!$N$2:$N$151,"Review Tax")</x:f>
        <x:v>45</x:v>
      </x:c>
    </x:row>
    <x:row r="8">
      <x:c r="A8" s="105" t="str">
        <x:v>Missing PO</x:v>
      </x:c>
      <x:c r="B8" s="110" t="n">
        <x:f>COUNTIF(Data!$M$2:$M$151,"Missing PO")</x:f>
        <x:v>73</x:v>
      </x:c>
      <x:c r="D8" t="str">
        <x:v>High Risk</x:v>
      </x:c>
      <x:c r="E8" s="100" t="n">
        <x:f>COUNTIF(Data!$P$2:$P$151,"High")</x:f>
        <x:v>141</x:v>
      </x:c>
    </x:row>
    <x:row r="9">
      <x:c r="A9" s="105" t="str">
        <x:v>Tax Reviews</x:v>
      </x:c>
      <x:c r="B9" s="110" t="n">
        <x:f>COUNTIF(Data!$N$2:$N$151,"Review Tax")</x:f>
        <x:v>45</x:v>
      </x:c>
    </x:row>
    <x:row r="10">
      <x:c r="A10" s="105" t="str">
        <x:v>High Risk</x:v>
      </x:c>
      <x:c r="B10" s="110" t="n">
        <x:f>COUNTIF(Data!$P$2:$P$151,"High")</x:f>
        <x:v>141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9d009f6f698e407b"/>
</x:worksheet>
</file>